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D:\PROITBRIDGE_Learning\3_Excel\Chapter_1_Excel_Fundamentals\"/>
    </mc:Choice>
  </mc:AlternateContent>
  <xr:revisionPtr revIDLastSave="0" documentId="13_ncr:1_{31E6B8F3-42DB-4E94-A848-E6F3AB7EA6E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2" i="1" l="1"/>
  <c r="H2" i="1"/>
  <c r="J2" i="1"/>
  <c r="J3" i="1"/>
  <c r="J4" i="1"/>
  <c r="J5" i="1"/>
  <c r="J6" i="1"/>
  <c r="H3" i="1"/>
  <c r="H4" i="1"/>
  <c r="H5" i="1"/>
  <c r="H6" i="1"/>
  <c r="I3" i="1"/>
  <c r="I4" i="1"/>
  <c r="I5" i="1"/>
  <c r="I6" i="1"/>
</calcChain>
</file>

<file path=xl/sharedStrings.xml><?xml version="1.0" encoding="utf-8"?>
<sst xmlns="http://schemas.openxmlformats.org/spreadsheetml/2006/main" count="24" uniqueCount="24">
  <si>
    <t xml:space="preserve">Destination </t>
  </si>
  <si>
    <t xml:space="preserve">Departure Date </t>
  </si>
  <si>
    <t xml:space="preserve">Return Date </t>
  </si>
  <si>
    <t xml:space="preserve">Flight Cost </t>
  </si>
  <si>
    <t xml:space="preserve">Hotel Name </t>
  </si>
  <si>
    <t xml:space="preserve">Total Budget </t>
  </si>
  <si>
    <t>Dubai</t>
  </si>
  <si>
    <t>London</t>
  </si>
  <si>
    <t>Thailand</t>
  </si>
  <si>
    <t>Vietnam</t>
  </si>
  <si>
    <t>Nepal</t>
  </si>
  <si>
    <t>Hanoi Pearl Hotel</t>
  </si>
  <si>
    <t>Rove Downtown Duba</t>
  </si>
  <si>
    <t>Premier Inn London City</t>
  </si>
  <si>
    <t>Amari Bangkok</t>
  </si>
  <si>
    <t>Hotel Yak &amp; Yeti</t>
  </si>
  <si>
    <t>Remaining Budget</t>
  </si>
  <si>
    <t>Travel Insruance</t>
  </si>
  <si>
    <t>Budget Including Insurance</t>
  </si>
  <si>
    <t>Tax Rate</t>
  </si>
  <si>
    <t>Tax Amount</t>
  </si>
  <si>
    <t>👆 Absolute Reference</t>
  </si>
  <si>
    <t>👆 Mixed Reference</t>
  </si>
  <si>
    <t>👆 Relative Reference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</si>
</sst>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(&quot;$&quot;* #,##0.00_);_(&quot;$&quot;* \(#,##0.00\);_(&quot;$&quot;* &quot;-&quot;??_);_(@_)"/>
    <numFmt numFmtId="164" formatCode="[$-14009]dd\ mmmm\ yyyy;@"/>
    <numFmt numFmtId="165" formatCode="_ [$₹-449]\ * #,##0.00_ ;_ [$₹-449]\ * \-#,##0.00_ ;_ [$₹-449]\ * &quot;-&quot;??_ ;_ @_ "/>
    <numFmt numFmtId="166" formatCode="[$₹-449]\ #,##0.00"/>
    <numFmt numFmtId="167" formatCode="[$₹-449]\ #,##0.00;[$₹-449]\ \-#,##0.00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2">
    <xf numFmtId="0" fontId="0" fillId="0" borderId="0" xfId="0"/>
    <xf numFmtId="0" fontId="3" fillId="0" borderId="0" xfId="0" applyFont="1"/>
    <xf numFmtId="0" fontId="2" fillId="0" borderId="0" xfId="0" applyFont="1"/>
    <xf numFmtId="164" fontId="0" fillId="0" borderId="0" xfId="0" applyNumberFormat="1"/>
    <xf numFmtId="164" fontId="3" fillId="0" borderId="0" xfId="0" applyNumberFormat="1" applyFont="1"/>
    <xf numFmtId="165" fontId="3" fillId="0" borderId="0" xfId="0" applyNumberFormat="1" applyFont="1"/>
    <xf numFmtId="165" fontId="0" fillId="0" borderId="0" xfId="0" applyNumberFormat="1"/>
    <xf numFmtId="166" fontId="0" fillId="0" borderId="0" xfId="1" applyNumberFormat="1" applyFont="1"/>
    <xf numFmtId="167" fontId="0" fillId="0" borderId="0" xfId="0" applyNumberFormat="1" applyAlignment="1">
      <alignment horizontal="right" vertical="center"/>
    </xf>
    <xf numFmtId="166" fontId="0" fillId="0" borderId="0" xfId="0" applyNumberFormat="1"/>
    <xf numFmtId="9" fontId="0" fillId="0" borderId="0" xfId="2" applyFont="1"/>
    <xf numFmtId="0" fontId="0" fillId="2" borderId="0" xfId="0" applyFill="1"/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1"/>
  <sheetViews>
    <sheetView tabSelected="1" topLeftCell="D1" zoomScale="130" zoomScaleNormal="130" workbookViewId="0">
      <selection activeCell="H12" sqref="H12"/>
    </sheetView>
  </sheetViews>
  <sheetFormatPr defaultRowHeight="14.4" x14ac:dyDescent="0.3"/>
  <cols>
    <col min="2" max="2" width="14.109375" customWidth="1"/>
    <col min="3" max="3" width="17.5546875" style="3" customWidth="1"/>
    <col min="4" max="4" width="21.109375" style="3" customWidth="1"/>
    <col min="5" max="5" width="16.6640625" style="6" customWidth="1"/>
    <col min="6" max="6" width="22.21875" customWidth="1"/>
    <col min="7" max="7" width="16.77734375" customWidth="1"/>
    <col min="8" max="8" width="24.21875" customWidth="1"/>
    <col min="9" max="9" width="16.109375" customWidth="1"/>
    <col min="10" max="10" width="18.33203125" customWidth="1"/>
  </cols>
  <sheetData>
    <row r="1" spans="1:10" s="2" customFormat="1" x14ac:dyDescent="0.3">
      <c r="B1" s="1" t="s">
        <v>0</v>
      </c>
      <c r="C1" s="4" t="s">
        <v>1</v>
      </c>
      <c r="D1" s="4" t="s">
        <v>2</v>
      </c>
      <c r="E1" s="5" t="s">
        <v>3</v>
      </c>
      <c r="F1" s="1" t="s">
        <v>4</v>
      </c>
      <c r="G1" s="1" t="s">
        <v>5</v>
      </c>
      <c r="H1" s="2" t="s">
        <v>18</v>
      </c>
      <c r="I1" s="2" t="s">
        <v>20</v>
      </c>
      <c r="J1" s="2" t="s">
        <v>16</v>
      </c>
    </row>
    <row r="2" spans="1:10" x14ac:dyDescent="0.3">
      <c r="A2">
        <v>1</v>
      </c>
      <c r="B2" t="s">
        <v>9</v>
      </c>
      <c r="C2" s="3">
        <v>46182</v>
      </c>
      <c r="D2" s="3">
        <v>46198</v>
      </c>
      <c r="E2" s="8">
        <v>53950</v>
      </c>
      <c r="F2" t="s">
        <v>11</v>
      </c>
      <c r="G2" s="7">
        <v>120000</v>
      </c>
      <c r="H2" s="9">
        <f>E2+$G$10</f>
        <v>58950</v>
      </c>
      <c r="I2" s="9">
        <f>G2*G$11</f>
        <v>6000</v>
      </c>
      <c r="J2" s="9">
        <f t="shared" ref="J2:J6" si="0">G2-(H2+I2)</f>
        <v>55050</v>
      </c>
    </row>
    <row r="3" spans="1:10" x14ac:dyDescent="0.3">
      <c r="A3">
        <v>2</v>
      </c>
      <c r="B3" t="s">
        <v>6</v>
      </c>
      <c r="C3" s="3">
        <v>46205</v>
      </c>
      <c r="D3" s="3">
        <v>204</v>
      </c>
      <c r="E3" s="8">
        <v>34000</v>
      </c>
      <c r="F3" t="s">
        <v>12</v>
      </c>
      <c r="G3" s="7">
        <v>80000</v>
      </c>
      <c r="H3" s="9">
        <f t="shared" ref="H3:H6" si="1">E3+$G$10</f>
        <v>39000</v>
      </c>
      <c r="I3" s="9">
        <f t="shared" ref="I3:I6" si="2">G3*G$11</f>
        <v>4000</v>
      </c>
      <c r="J3" s="9">
        <f t="shared" si="0"/>
        <v>37000</v>
      </c>
    </row>
    <row r="4" spans="1:10" x14ac:dyDescent="0.3">
      <c r="A4">
        <v>3</v>
      </c>
      <c r="B4" t="s">
        <v>7</v>
      </c>
      <c r="C4" s="3">
        <v>46231</v>
      </c>
      <c r="D4" s="3">
        <v>46238</v>
      </c>
      <c r="E4" s="8">
        <v>58000</v>
      </c>
      <c r="F4" t="s">
        <v>13</v>
      </c>
      <c r="G4" s="7">
        <v>100000</v>
      </c>
      <c r="H4" s="9">
        <f t="shared" si="1"/>
        <v>63000</v>
      </c>
      <c r="I4" s="9">
        <f t="shared" si="2"/>
        <v>5000</v>
      </c>
      <c r="J4" s="9">
        <f t="shared" si="0"/>
        <v>32000</v>
      </c>
    </row>
    <row r="5" spans="1:10" x14ac:dyDescent="0.3">
      <c r="A5">
        <v>4</v>
      </c>
      <c r="B5" t="s">
        <v>8</v>
      </c>
      <c r="C5" s="3">
        <v>46241</v>
      </c>
      <c r="D5" s="3">
        <v>46275</v>
      </c>
      <c r="E5" s="8">
        <v>71300</v>
      </c>
      <c r="F5" t="s">
        <v>14</v>
      </c>
      <c r="G5" s="7">
        <v>150000</v>
      </c>
      <c r="H5" s="9">
        <f t="shared" si="1"/>
        <v>76300</v>
      </c>
      <c r="I5" s="9">
        <f t="shared" si="2"/>
        <v>7500</v>
      </c>
      <c r="J5" s="9">
        <f t="shared" si="0"/>
        <v>66200</v>
      </c>
    </row>
    <row r="6" spans="1:10" x14ac:dyDescent="0.3">
      <c r="A6">
        <v>5</v>
      </c>
      <c r="B6" t="s">
        <v>10</v>
      </c>
      <c r="C6" s="3">
        <v>46280</v>
      </c>
      <c r="D6" s="3">
        <v>46286</v>
      </c>
      <c r="E6" s="8">
        <v>21000</v>
      </c>
      <c r="F6" t="s">
        <v>15</v>
      </c>
      <c r="G6" s="7">
        <v>50000</v>
      </c>
      <c r="H6" s="9">
        <f t="shared" si="1"/>
        <v>26000</v>
      </c>
      <c r="I6" s="9">
        <f t="shared" si="2"/>
        <v>2500</v>
      </c>
      <c r="J6" s="9">
        <f t="shared" si="0"/>
        <v>21500</v>
      </c>
    </row>
    <row r="7" spans="1:10" x14ac:dyDescent="0.3">
      <c r="H7" s="11" t="s">
        <v>21</v>
      </c>
      <c r="I7" s="11" t="s">
        <v>22</v>
      </c>
      <c r="J7" s="11" t="s">
        <v>23</v>
      </c>
    </row>
    <row r="10" spans="1:10" x14ac:dyDescent="0.3">
      <c r="F10" t="s">
        <v>17</v>
      </c>
      <c r="G10" s="9">
        <v>5000</v>
      </c>
    </row>
    <row r="11" spans="1:10" x14ac:dyDescent="0.3">
      <c r="F11" t="s">
        <v>19</v>
      </c>
      <c r="G11" s="10">
        <v>0.05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Derin Girish</dc:creator>
  <cp:lastModifiedBy>Derin Girish</cp:lastModifiedBy>
  <dcterms:created xsi:type="dcterms:W3CDTF">2015-06-05T18:17:20Z</dcterms:created>
  <dcterms:modified xsi:type="dcterms:W3CDTF">2026-06-09T08:54:40Z</dcterms:modified>
</cp:coreProperties>
</file>