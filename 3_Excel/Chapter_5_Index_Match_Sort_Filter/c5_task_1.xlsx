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ITBRIDGE_Learning\3_Excel\Chapter_5_Index_Match_Sort_Filter\"/>
    </mc:Choice>
  </mc:AlternateContent>
  <xr:revisionPtr revIDLastSave="0" documentId="13_ncr:1_{AA0063AA-A92F-4DB4-85A7-BCBCE3A2A0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4" i="1" l="1" a="1"/>
  <c r="A124" i="1" s="1"/>
  <c r="A113" i="1" a="1"/>
  <c r="A113" i="1" s="1"/>
  <c r="A105" i="1" a="1"/>
  <c r="A105" i="1" s="1"/>
  <c r="A97" i="1" a="1"/>
  <c r="A97" i="1" s="1"/>
  <c r="A90" i="1" a="1"/>
  <c r="A90" i="1" s="1"/>
  <c r="A83" i="1" a="1"/>
  <c r="A83" i="1" s="1"/>
  <c r="A67" i="1" a="1"/>
  <c r="A67" i="1" s="1"/>
  <c r="A54" i="1" a="1"/>
  <c r="A54" i="1" s="1"/>
  <c r="A40" i="1" a="1"/>
  <c r="A40" i="1" s="1"/>
  <c r="A27" i="1" a="1"/>
  <c r="A27" i="1" s="1"/>
  <c r="B22" i="1" l="1"/>
  <c r="B1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<sst xmlns="http://schemas.openxmlformats.org/spreadsheetml/2006/main" count="119" uniqueCount="56">
  <si>
    <t>Emp ID</t>
  </si>
  <si>
    <t>Employee Name</t>
  </si>
  <si>
    <t>Department</t>
  </si>
  <si>
    <t>Salary</t>
  </si>
  <si>
    <t>Location</t>
  </si>
  <si>
    <t>Joining Year</t>
  </si>
  <si>
    <t>E001</t>
  </si>
  <si>
    <t>Rahul Sharma</t>
  </si>
  <si>
    <t>Sales</t>
  </si>
  <si>
    <t>Delhi</t>
  </si>
  <si>
    <t>E002</t>
  </si>
  <si>
    <t>Anita Singh</t>
  </si>
  <si>
    <t>HR</t>
  </si>
  <si>
    <t>Mumbai</t>
  </si>
  <si>
    <t>E003</t>
  </si>
  <si>
    <t>David Mathews</t>
  </si>
  <si>
    <t>IT</t>
  </si>
  <si>
    <t>Bangalore</t>
  </si>
  <si>
    <t>E004</t>
  </si>
  <si>
    <t>Priya R</t>
  </si>
  <si>
    <t>Pune</t>
  </si>
  <si>
    <t>E005</t>
  </si>
  <si>
    <t>Sunil Kumar</t>
  </si>
  <si>
    <t>Finance</t>
  </si>
  <si>
    <t>E006</t>
  </si>
  <si>
    <t>Maria Lopez</t>
  </si>
  <si>
    <t>Marketing</t>
  </si>
  <si>
    <t>Chennai</t>
  </si>
  <si>
    <t>E007</t>
  </si>
  <si>
    <t>John Paul</t>
  </si>
  <si>
    <t>E008</t>
  </si>
  <si>
    <t>Khushi Jain</t>
  </si>
  <si>
    <t>E009</t>
  </si>
  <si>
    <t>Rohan Mehta</t>
  </si>
  <si>
    <t>Hyderabad</t>
  </si>
  <si>
    <t>E010</t>
  </si>
  <si>
    <t>Aman Verma</t>
  </si>
  <si>
    <t>Task 1 - INDEX + MATCH</t>
  </si>
  <si>
    <t>1. Find the salary of the employee with Emp ID “E006”.</t>
  </si>
  <si>
    <t>Emp Salary</t>
  </si>
  <si>
    <t>2. Find the department of “John Paul” using MATCH + INDEX.</t>
  </si>
  <si>
    <t xml:space="preserve">Emp Name </t>
  </si>
  <si>
    <t>Task 2 - SORT / SORTBY</t>
  </si>
  <si>
    <t>1. Sort the entire table by Salary in descending order using SORT.</t>
  </si>
  <si>
    <t>2. Sort employees alphabetically by Employee Name.</t>
  </si>
  <si>
    <t>3. Sort employees by Department (A–Z) and then Salary (lowest to highest).</t>
  </si>
  <si>
    <t>4. Sort employees by Joining Year (oldest to newest).</t>
  </si>
  <si>
    <t xml:space="preserve">Task 3 - FILTER </t>
  </si>
  <si>
    <t>1. Filter only employees who work in the IT department.</t>
  </si>
  <si>
    <t>2. Filter employees who earn more than 60,000.</t>
  </si>
  <si>
    <t>3. Filter employees located in Delhi.</t>
  </si>
  <si>
    <t>Task 4 - UNIQUE / SEQUENCE</t>
  </si>
  <si>
    <t>1. Return a list of unique departments using UNIQUE.</t>
  </si>
  <si>
    <t>2. Generate a sequence of joining years from 2018 to 2023 using SEQUENCE.</t>
  </si>
  <si>
    <t xml:space="preserve">Task 5 - RANDARRAY </t>
  </si>
  <si>
    <t>1. Generate 10 random salary values between 40,000 and 80,000 using RANDARRAY.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</si>
</sst>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₹-449]\ #,##0"/>
  </numFmts>
  <fonts count="5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  <family val="2"/>
      <scheme val="minor"/>
    </font>
    <font>
      <b/>
      <sz val="14"/>
      <color rgb="FF1155CC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/>
    <xf numFmtId="0" fontId="3" fillId="0" borderId="2" xfId="0" applyFont="1" applyBorder="1"/>
    <xf numFmtId="0" fontId="3" fillId="2" borderId="2" xfId="0" applyFont="1" applyFill="1" applyBorder="1" applyAlignment="1">
      <alignment horizontal="right"/>
    </xf>
    <xf numFmtId="0" fontId="3" fillId="2" borderId="2" xfId="0" applyFont="1" applyFill="1" applyBorder="1"/>
    <xf numFmtId="171" fontId="2" fillId="0" borderId="1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0" borderId="2" xfId="0" applyFont="1" applyFill="1" applyBorder="1"/>
    <xf numFmtId="0" fontId="3" fillId="4" borderId="2" xfId="0" applyFont="1" applyFill="1" applyBorder="1" applyAlignment="1">
      <alignment horizontal="right"/>
    </xf>
    <xf numFmtId="0" fontId="3" fillId="4" borderId="2" xfId="0" applyFont="1" applyFill="1" applyBorder="1"/>
    <xf numFmtId="0" fontId="4" fillId="0" borderId="0" xfId="0" applyFont="1" applyAlignment="1">
      <alignment vertical="center"/>
    </xf>
    <xf numFmtId="0" fontId="3" fillId="5" borderId="0" xfId="0" applyFont="1" applyFill="1"/>
    <xf numFmtId="0" fontId="3" fillId="5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F133"/>
  <sheetViews>
    <sheetView tabSelected="1" topLeftCell="A127" zoomScaleNormal="100" workbookViewId="0">
      <selection activeCell="G140" sqref="G140"/>
    </sheetView>
  </sheetViews>
  <sheetFormatPr defaultColWidth="12.6640625" defaultRowHeight="15.75" customHeight="1"/>
  <cols>
    <col min="1" max="1" width="13.33203125" bestFit="1" customWidth="1"/>
    <col min="2" max="2" width="17.33203125" bestFit="1" customWidth="1"/>
    <col min="3" max="3" width="12.44140625" bestFit="1" customWidth="1"/>
    <col min="4" max="4" width="8.77734375" bestFit="1" customWidth="1"/>
    <col min="5" max="5" width="10.77734375" bestFit="1" customWidth="1"/>
    <col min="6" max="6" width="13.332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7">
        <v>55000</v>
      </c>
      <c r="E2" s="2" t="s">
        <v>9</v>
      </c>
      <c r="F2" s="8">
        <v>2021</v>
      </c>
    </row>
    <row r="3" spans="1:6">
      <c r="A3" s="2" t="s">
        <v>10</v>
      </c>
      <c r="B3" s="2" t="s">
        <v>11</v>
      </c>
      <c r="C3" s="2" t="s">
        <v>12</v>
      </c>
      <c r="D3" s="7">
        <v>48000</v>
      </c>
      <c r="E3" s="2" t="s">
        <v>13</v>
      </c>
      <c r="F3" s="8">
        <v>2019</v>
      </c>
    </row>
    <row r="4" spans="1:6">
      <c r="A4" s="2" t="s">
        <v>14</v>
      </c>
      <c r="B4" s="2" t="s">
        <v>15</v>
      </c>
      <c r="C4" s="2" t="s">
        <v>16</v>
      </c>
      <c r="D4" s="7">
        <v>72000</v>
      </c>
      <c r="E4" s="2" t="s">
        <v>17</v>
      </c>
      <c r="F4" s="8">
        <v>2020</v>
      </c>
    </row>
    <row r="5" spans="1:6">
      <c r="A5" s="2" t="s">
        <v>18</v>
      </c>
      <c r="B5" s="2" t="s">
        <v>19</v>
      </c>
      <c r="C5" s="2" t="s">
        <v>16</v>
      </c>
      <c r="D5" s="7">
        <v>69000</v>
      </c>
      <c r="E5" s="2" t="s">
        <v>20</v>
      </c>
      <c r="F5" s="8">
        <v>2022</v>
      </c>
    </row>
    <row r="6" spans="1:6">
      <c r="A6" s="2" t="s">
        <v>21</v>
      </c>
      <c r="B6" s="2" t="s">
        <v>22</v>
      </c>
      <c r="C6" s="2" t="s">
        <v>23</v>
      </c>
      <c r="D6" s="7">
        <v>58000</v>
      </c>
      <c r="E6" s="2" t="s">
        <v>9</v>
      </c>
      <c r="F6" s="8">
        <v>2021</v>
      </c>
    </row>
    <row r="7" spans="1:6">
      <c r="A7" s="2" t="s">
        <v>24</v>
      </c>
      <c r="B7" s="2" t="s">
        <v>25</v>
      </c>
      <c r="C7" s="2" t="s">
        <v>26</v>
      </c>
      <c r="D7" s="7">
        <v>51000</v>
      </c>
      <c r="E7" s="2" t="s">
        <v>27</v>
      </c>
      <c r="F7" s="8">
        <v>2018</v>
      </c>
    </row>
    <row r="8" spans="1:6">
      <c r="A8" s="2" t="s">
        <v>28</v>
      </c>
      <c r="B8" s="2" t="s">
        <v>29</v>
      </c>
      <c r="C8" s="2" t="s">
        <v>8</v>
      </c>
      <c r="D8" s="7">
        <v>60000</v>
      </c>
      <c r="E8" s="2" t="s">
        <v>13</v>
      </c>
      <c r="F8" s="8">
        <v>2023</v>
      </c>
    </row>
    <row r="9" spans="1:6">
      <c r="A9" s="2" t="s">
        <v>30</v>
      </c>
      <c r="B9" s="2" t="s">
        <v>31</v>
      </c>
      <c r="C9" s="2" t="s">
        <v>12</v>
      </c>
      <c r="D9" s="7">
        <v>47000</v>
      </c>
      <c r="E9" s="2" t="s">
        <v>17</v>
      </c>
      <c r="F9" s="8">
        <v>2022</v>
      </c>
    </row>
    <row r="10" spans="1:6">
      <c r="A10" s="2" t="s">
        <v>32</v>
      </c>
      <c r="B10" s="2" t="s">
        <v>33</v>
      </c>
      <c r="C10" s="2" t="s">
        <v>16</v>
      </c>
      <c r="D10" s="7">
        <v>73000</v>
      </c>
      <c r="E10" s="2" t="s">
        <v>34</v>
      </c>
      <c r="F10" s="8">
        <v>2019</v>
      </c>
    </row>
    <row r="11" spans="1:6">
      <c r="A11" s="2" t="s">
        <v>35</v>
      </c>
      <c r="B11" s="2" t="s">
        <v>36</v>
      </c>
      <c r="C11" s="2" t="s">
        <v>23</v>
      </c>
      <c r="D11" s="7">
        <v>54000</v>
      </c>
      <c r="E11" s="2" t="s">
        <v>9</v>
      </c>
      <c r="F11" s="8">
        <v>2020</v>
      </c>
    </row>
    <row r="15" spans="1:6" s="16" customFormat="1" ht="15.75" customHeight="1">
      <c r="A15" s="16" t="s">
        <v>37</v>
      </c>
    </row>
    <row r="16" spans="1:6" s="17" customFormat="1" ht="15.75" customHeight="1">
      <c r="A16" s="17" t="s">
        <v>38</v>
      </c>
    </row>
    <row r="17" spans="1:6" ht="15.75" customHeight="1">
      <c r="A17" s="4" t="s">
        <v>0</v>
      </c>
      <c r="B17" s="14" t="s">
        <v>24</v>
      </c>
      <c r="C17" s="3"/>
      <c r="D17" s="3"/>
    </row>
    <row r="18" spans="1:6" ht="15.75" customHeight="1">
      <c r="A18" s="4" t="s">
        <v>39</v>
      </c>
      <c r="B18" s="6">
        <f>INDEX(D2:D11, MATCH(B17,A2:A11,0))</f>
        <v>51000</v>
      </c>
      <c r="C18" s="3"/>
      <c r="D18" s="3"/>
    </row>
    <row r="19" spans="1:6" ht="15.75" customHeight="1">
      <c r="A19" s="3"/>
      <c r="B19" s="3"/>
      <c r="C19" s="3"/>
      <c r="D19" s="3"/>
    </row>
    <row r="20" spans="1:6" s="17" customFormat="1" ht="15.75" customHeight="1">
      <c r="A20" s="17" t="s">
        <v>40</v>
      </c>
    </row>
    <row r="21" spans="1:6" ht="15.75" customHeight="1">
      <c r="A21" s="4" t="s">
        <v>41</v>
      </c>
      <c r="B21" s="14" t="s">
        <v>29</v>
      </c>
      <c r="C21" s="3"/>
      <c r="D21" s="3"/>
    </row>
    <row r="22" spans="1:6" ht="15.75" customHeight="1">
      <c r="A22" s="4" t="s">
        <v>2</v>
      </c>
      <c r="B22" s="5" t="str">
        <f>INDEX(C2:C11, MATCH(B21,B2:B11,0))</f>
        <v>Sales</v>
      </c>
      <c r="C22" s="3"/>
      <c r="D22" s="3"/>
    </row>
    <row r="24" spans="1:6" s="16" customFormat="1" ht="15.75" customHeight="1">
      <c r="A24" s="16" t="s">
        <v>42</v>
      </c>
    </row>
    <row r="25" spans="1:6" s="18" customFormat="1" ht="15.75" customHeight="1">
      <c r="A25" s="18" t="s">
        <v>43</v>
      </c>
    </row>
    <row r="26" spans="1:6" ht="15.75" customHeight="1">
      <c r="A26" s="9" t="s">
        <v>0</v>
      </c>
      <c r="B26" s="9" t="s">
        <v>1</v>
      </c>
      <c r="C26" s="9" t="s">
        <v>2</v>
      </c>
      <c r="D26" s="10" t="s">
        <v>3</v>
      </c>
      <c r="E26" s="9" t="s">
        <v>4</v>
      </c>
      <c r="F26" s="9" t="s">
        <v>5</v>
      </c>
    </row>
    <row r="27" spans="1:6" ht="15.75" customHeight="1">
      <c r="A27" s="6" t="str" cm="1">
        <f t="array" ref="A27:F36">_xlfn._xlws.SORT(A2:F11,4,-1,FALSE)</f>
        <v>E009</v>
      </c>
      <c r="B27" s="4" t="str">
        <v>Rohan Mehta</v>
      </c>
      <c r="C27" s="4" t="str">
        <v>IT</v>
      </c>
      <c r="D27" s="12">
        <v>73000</v>
      </c>
      <c r="E27" s="4" t="str">
        <v>Hyderabad</v>
      </c>
      <c r="F27" s="4">
        <v>2019</v>
      </c>
    </row>
    <row r="28" spans="1:6" ht="15.75" customHeight="1">
      <c r="A28" s="4" t="str">
        <v>E003</v>
      </c>
      <c r="B28" s="4" t="str">
        <v>David Mathews</v>
      </c>
      <c r="C28" s="4" t="str">
        <v>IT</v>
      </c>
      <c r="D28" s="12">
        <v>72000</v>
      </c>
      <c r="E28" s="4" t="str">
        <v>Bangalore</v>
      </c>
      <c r="F28" s="4">
        <v>2020</v>
      </c>
    </row>
    <row r="29" spans="1:6" ht="15.75" customHeight="1">
      <c r="A29" s="4" t="str">
        <v>E004</v>
      </c>
      <c r="B29" s="4" t="str">
        <v>Priya R</v>
      </c>
      <c r="C29" s="4" t="str">
        <v>IT</v>
      </c>
      <c r="D29" s="12">
        <v>69000</v>
      </c>
      <c r="E29" s="4" t="str">
        <v>Pune</v>
      </c>
      <c r="F29" s="4">
        <v>2022</v>
      </c>
    </row>
    <row r="30" spans="1:6" ht="15.75" customHeight="1">
      <c r="A30" s="4" t="str">
        <v>E007</v>
      </c>
      <c r="B30" s="4" t="str">
        <v>John Paul</v>
      </c>
      <c r="C30" s="4" t="str">
        <v>Sales</v>
      </c>
      <c r="D30" s="12">
        <v>60000</v>
      </c>
      <c r="E30" s="4" t="str">
        <v>Mumbai</v>
      </c>
      <c r="F30" s="4">
        <v>2023</v>
      </c>
    </row>
    <row r="31" spans="1:6" ht="15.75" customHeight="1">
      <c r="A31" s="4" t="str">
        <v>E005</v>
      </c>
      <c r="B31" s="4" t="str">
        <v>Sunil Kumar</v>
      </c>
      <c r="C31" s="4" t="str">
        <v>Finance</v>
      </c>
      <c r="D31" s="12">
        <v>58000</v>
      </c>
      <c r="E31" s="4" t="str">
        <v>Delhi</v>
      </c>
      <c r="F31" s="4">
        <v>2021</v>
      </c>
    </row>
    <row r="32" spans="1:6" ht="15.75" customHeight="1">
      <c r="A32" s="4" t="str">
        <v>E001</v>
      </c>
      <c r="B32" s="4" t="str">
        <v>Rahul Sharma</v>
      </c>
      <c r="C32" s="4" t="str">
        <v>Sales</v>
      </c>
      <c r="D32" s="12">
        <v>55000</v>
      </c>
      <c r="E32" s="4" t="str">
        <v>Delhi</v>
      </c>
      <c r="F32" s="4">
        <v>2021</v>
      </c>
    </row>
    <row r="33" spans="1:6" ht="15.75" customHeight="1">
      <c r="A33" s="4" t="str">
        <v>E010</v>
      </c>
      <c r="B33" s="4" t="str">
        <v>Aman Verma</v>
      </c>
      <c r="C33" s="4" t="str">
        <v>Finance</v>
      </c>
      <c r="D33" s="12">
        <v>54000</v>
      </c>
      <c r="E33" s="4" t="str">
        <v>Delhi</v>
      </c>
      <c r="F33" s="4">
        <v>2020</v>
      </c>
    </row>
    <row r="34" spans="1:6" ht="15.75" customHeight="1">
      <c r="A34" s="4" t="str">
        <v>E006</v>
      </c>
      <c r="B34" s="4" t="str">
        <v>Maria Lopez</v>
      </c>
      <c r="C34" s="4" t="str">
        <v>Marketing</v>
      </c>
      <c r="D34" s="12">
        <v>51000</v>
      </c>
      <c r="E34" s="4" t="str">
        <v>Chennai</v>
      </c>
      <c r="F34" s="4">
        <v>2018</v>
      </c>
    </row>
    <row r="35" spans="1:6" ht="15.75" customHeight="1">
      <c r="A35" s="4" t="str">
        <v>E002</v>
      </c>
      <c r="B35" s="4" t="str">
        <v>Anita Singh</v>
      </c>
      <c r="C35" s="4" t="str">
        <v>HR</v>
      </c>
      <c r="D35" s="12">
        <v>48000</v>
      </c>
      <c r="E35" s="4" t="str">
        <v>Mumbai</v>
      </c>
      <c r="F35" s="4">
        <v>2019</v>
      </c>
    </row>
    <row r="36" spans="1:6" ht="15.75" customHeight="1">
      <c r="A36" s="4" t="str">
        <v>E008</v>
      </c>
      <c r="B36" s="4" t="str">
        <v>Khushi Jain</v>
      </c>
      <c r="C36" s="4" t="str">
        <v>HR</v>
      </c>
      <c r="D36" s="12">
        <v>47000</v>
      </c>
      <c r="E36" s="4" t="str">
        <v>Bangalore</v>
      </c>
      <c r="F36" s="4">
        <v>2022</v>
      </c>
    </row>
    <row r="37" spans="1:6" ht="15.75" customHeight="1">
      <c r="A37" s="3"/>
      <c r="B37" s="3"/>
      <c r="C37" s="3"/>
      <c r="D37" s="3"/>
      <c r="E37" s="3"/>
      <c r="F37" s="3"/>
    </row>
    <row r="38" spans="1:6" s="17" customFormat="1" ht="15.75" customHeight="1">
      <c r="A38" s="17" t="s">
        <v>44</v>
      </c>
    </row>
    <row r="39" spans="1:6" ht="15.75" customHeight="1">
      <c r="A39" s="9" t="s">
        <v>0</v>
      </c>
      <c r="B39" s="10" t="s">
        <v>1</v>
      </c>
      <c r="C39" s="9" t="s">
        <v>2</v>
      </c>
      <c r="D39" s="11" t="s">
        <v>3</v>
      </c>
      <c r="E39" s="9" t="s">
        <v>4</v>
      </c>
      <c r="F39" s="9" t="s">
        <v>5</v>
      </c>
    </row>
    <row r="40" spans="1:6" ht="15.75" customHeight="1">
      <c r="A40" s="6" t="str" cm="1">
        <f t="array" ref="A40:F50">_xlfn._xlws.SORT(A1:F11,2,1,FALSE)</f>
        <v>E010</v>
      </c>
      <c r="B40" s="12" t="str">
        <v>Aman Verma</v>
      </c>
      <c r="C40" s="4" t="str">
        <v>Finance</v>
      </c>
      <c r="D40" s="4">
        <v>54000</v>
      </c>
      <c r="E40" s="4" t="str">
        <v>Delhi</v>
      </c>
      <c r="F40" s="4">
        <v>2020</v>
      </c>
    </row>
    <row r="41" spans="1:6" ht="15.75" customHeight="1">
      <c r="A41" s="4" t="str">
        <v>E002</v>
      </c>
      <c r="B41" s="12" t="str">
        <v>Anita Singh</v>
      </c>
      <c r="C41" s="4" t="str">
        <v>HR</v>
      </c>
      <c r="D41" s="4">
        <v>48000</v>
      </c>
      <c r="E41" s="4" t="str">
        <v>Mumbai</v>
      </c>
      <c r="F41" s="4">
        <v>2019</v>
      </c>
    </row>
    <row r="42" spans="1:6" ht="15.75" customHeight="1">
      <c r="A42" s="4" t="str">
        <v>E003</v>
      </c>
      <c r="B42" s="12" t="str">
        <v>David Mathews</v>
      </c>
      <c r="C42" s="4" t="str">
        <v>IT</v>
      </c>
      <c r="D42" s="4">
        <v>72000</v>
      </c>
      <c r="E42" s="4" t="str">
        <v>Bangalore</v>
      </c>
      <c r="F42" s="4">
        <v>2020</v>
      </c>
    </row>
    <row r="43" spans="1:6" ht="15.75" customHeight="1">
      <c r="A43" s="4" t="str">
        <v>Emp ID</v>
      </c>
      <c r="B43" s="12" t="str">
        <v>Employee Name</v>
      </c>
      <c r="C43" s="4" t="str">
        <v>Department</v>
      </c>
      <c r="D43" s="4" t="str">
        <v>Salary</v>
      </c>
      <c r="E43" s="4" t="str">
        <v>Location</v>
      </c>
      <c r="F43" s="4" t="str">
        <v>Joining Year</v>
      </c>
    </row>
    <row r="44" spans="1:6" ht="15.75" customHeight="1">
      <c r="A44" s="4" t="str">
        <v>E007</v>
      </c>
      <c r="B44" s="12" t="str">
        <v>John Paul</v>
      </c>
      <c r="C44" s="4" t="str">
        <v>Sales</v>
      </c>
      <c r="D44" s="4">
        <v>60000</v>
      </c>
      <c r="E44" s="4" t="str">
        <v>Mumbai</v>
      </c>
      <c r="F44" s="4">
        <v>2023</v>
      </c>
    </row>
    <row r="45" spans="1:6" ht="15.75" customHeight="1">
      <c r="A45" s="4" t="str">
        <v>E008</v>
      </c>
      <c r="B45" s="12" t="str">
        <v>Khushi Jain</v>
      </c>
      <c r="C45" s="4" t="str">
        <v>HR</v>
      </c>
      <c r="D45" s="4">
        <v>47000</v>
      </c>
      <c r="E45" s="4" t="str">
        <v>Bangalore</v>
      </c>
      <c r="F45" s="4">
        <v>2022</v>
      </c>
    </row>
    <row r="46" spans="1:6" ht="15.75" customHeight="1">
      <c r="A46" s="4" t="str">
        <v>E006</v>
      </c>
      <c r="B46" s="12" t="str">
        <v>Maria Lopez</v>
      </c>
      <c r="C46" s="4" t="str">
        <v>Marketing</v>
      </c>
      <c r="D46" s="4">
        <v>51000</v>
      </c>
      <c r="E46" s="4" t="str">
        <v>Chennai</v>
      </c>
      <c r="F46" s="4">
        <v>2018</v>
      </c>
    </row>
    <row r="47" spans="1:6" ht="15.75" customHeight="1">
      <c r="A47" s="4" t="str">
        <v>E004</v>
      </c>
      <c r="B47" s="12" t="str">
        <v>Priya R</v>
      </c>
      <c r="C47" s="4" t="str">
        <v>IT</v>
      </c>
      <c r="D47" s="4">
        <v>69000</v>
      </c>
      <c r="E47" s="4" t="str">
        <v>Pune</v>
      </c>
      <c r="F47" s="4">
        <v>2022</v>
      </c>
    </row>
    <row r="48" spans="1:6" ht="15.75" customHeight="1">
      <c r="A48" s="4" t="str">
        <v>E001</v>
      </c>
      <c r="B48" s="12" t="str">
        <v>Rahul Sharma</v>
      </c>
      <c r="C48" s="4" t="str">
        <v>Sales</v>
      </c>
      <c r="D48" s="4">
        <v>55000</v>
      </c>
      <c r="E48" s="4" t="str">
        <v>Delhi</v>
      </c>
      <c r="F48" s="4">
        <v>2021</v>
      </c>
    </row>
    <row r="49" spans="1:6" ht="15.75" customHeight="1">
      <c r="A49" s="4" t="str">
        <v>E009</v>
      </c>
      <c r="B49" s="12" t="str">
        <v>Rohan Mehta</v>
      </c>
      <c r="C49" s="4" t="str">
        <v>IT</v>
      </c>
      <c r="D49" s="4">
        <v>73000</v>
      </c>
      <c r="E49" s="4" t="str">
        <v>Hyderabad</v>
      </c>
      <c r="F49" s="4">
        <v>2019</v>
      </c>
    </row>
    <row r="50" spans="1:6" ht="15.75" customHeight="1">
      <c r="A50" s="4" t="str">
        <v>E005</v>
      </c>
      <c r="B50" s="12" t="str">
        <v>Sunil Kumar</v>
      </c>
      <c r="C50" s="4" t="str">
        <v>Finance</v>
      </c>
      <c r="D50" s="4">
        <v>58000</v>
      </c>
      <c r="E50" s="4" t="str">
        <v>Delhi</v>
      </c>
      <c r="F50" s="4">
        <v>2021</v>
      </c>
    </row>
    <row r="51" spans="1:6" ht="15.75" customHeight="1">
      <c r="A51" s="3"/>
      <c r="B51" s="3"/>
      <c r="C51" s="3"/>
      <c r="D51" s="3"/>
      <c r="E51" s="3"/>
      <c r="F51" s="3"/>
    </row>
    <row r="52" spans="1:6" s="17" customFormat="1" ht="15.75" customHeight="1">
      <c r="A52" s="17" t="s">
        <v>45</v>
      </c>
    </row>
    <row r="53" spans="1:6" ht="15.75" customHeight="1">
      <c r="A53" s="9" t="s">
        <v>0</v>
      </c>
      <c r="B53" s="11" t="s">
        <v>1</v>
      </c>
      <c r="C53" s="10" t="s">
        <v>2</v>
      </c>
      <c r="D53" s="10" t="s">
        <v>3</v>
      </c>
      <c r="E53" s="9" t="s">
        <v>4</v>
      </c>
      <c r="F53" s="9" t="s">
        <v>5</v>
      </c>
    </row>
    <row r="54" spans="1:6" ht="15.75" customHeight="1">
      <c r="A54" s="6" t="str" cm="1">
        <f t="array" ref="A54:F63">_xlfn.SORTBY(A2:F11,C2:C11,1,D2:D11,1)</f>
        <v>E010</v>
      </c>
      <c r="B54" s="13" t="str">
        <v>Aman Verma</v>
      </c>
      <c r="C54" s="12" t="str">
        <v>Finance</v>
      </c>
      <c r="D54" s="12">
        <v>54000</v>
      </c>
      <c r="E54" s="4" t="str">
        <v>Delhi</v>
      </c>
      <c r="F54" s="4">
        <v>2020</v>
      </c>
    </row>
    <row r="55" spans="1:6" ht="15.75" customHeight="1">
      <c r="A55" s="4" t="str">
        <v>E005</v>
      </c>
      <c r="B55" s="13" t="str">
        <v>Sunil Kumar</v>
      </c>
      <c r="C55" s="12" t="str">
        <v>Finance</v>
      </c>
      <c r="D55" s="12">
        <v>58000</v>
      </c>
      <c r="E55" s="4" t="str">
        <v>Delhi</v>
      </c>
      <c r="F55" s="4">
        <v>2021</v>
      </c>
    </row>
    <row r="56" spans="1:6" ht="15.75" customHeight="1">
      <c r="A56" s="4" t="str">
        <v>E008</v>
      </c>
      <c r="B56" s="13" t="str">
        <v>Khushi Jain</v>
      </c>
      <c r="C56" s="12" t="str">
        <v>HR</v>
      </c>
      <c r="D56" s="12">
        <v>47000</v>
      </c>
      <c r="E56" s="4" t="str">
        <v>Bangalore</v>
      </c>
      <c r="F56" s="4">
        <v>2022</v>
      </c>
    </row>
    <row r="57" spans="1:6" ht="15.75" customHeight="1">
      <c r="A57" s="4" t="str">
        <v>E002</v>
      </c>
      <c r="B57" s="13" t="str">
        <v>Anita Singh</v>
      </c>
      <c r="C57" s="12" t="str">
        <v>HR</v>
      </c>
      <c r="D57" s="12">
        <v>48000</v>
      </c>
      <c r="E57" s="4" t="str">
        <v>Mumbai</v>
      </c>
      <c r="F57" s="4">
        <v>2019</v>
      </c>
    </row>
    <row r="58" spans="1:6" ht="15.75" customHeight="1">
      <c r="A58" s="4" t="str">
        <v>E004</v>
      </c>
      <c r="B58" s="13" t="str">
        <v>Priya R</v>
      </c>
      <c r="C58" s="12" t="str">
        <v>IT</v>
      </c>
      <c r="D58" s="12">
        <v>69000</v>
      </c>
      <c r="E58" s="4" t="str">
        <v>Pune</v>
      </c>
      <c r="F58" s="4">
        <v>2022</v>
      </c>
    </row>
    <row r="59" spans="1:6" ht="15.75" customHeight="1">
      <c r="A59" s="4" t="str">
        <v>E003</v>
      </c>
      <c r="B59" s="13" t="str">
        <v>David Mathews</v>
      </c>
      <c r="C59" s="12" t="str">
        <v>IT</v>
      </c>
      <c r="D59" s="12">
        <v>72000</v>
      </c>
      <c r="E59" s="4" t="str">
        <v>Bangalore</v>
      </c>
      <c r="F59" s="4">
        <v>2020</v>
      </c>
    </row>
    <row r="60" spans="1:6" ht="15.75" customHeight="1">
      <c r="A60" s="4" t="str">
        <v>E009</v>
      </c>
      <c r="B60" s="13" t="str">
        <v>Rohan Mehta</v>
      </c>
      <c r="C60" s="12" t="str">
        <v>IT</v>
      </c>
      <c r="D60" s="12">
        <v>73000</v>
      </c>
      <c r="E60" s="4" t="str">
        <v>Hyderabad</v>
      </c>
      <c r="F60" s="4">
        <v>2019</v>
      </c>
    </row>
    <row r="61" spans="1:6" ht="15.75" customHeight="1">
      <c r="A61" s="4" t="str">
        <v>E006</v>
      </c>
      <c r="B61" s="13" t="str">
        <v>Maria Lopez</v>
      </c>
      <c r="C61" s="12" t="str">
        <v>Marketing</v>
      </c>
      <c r="D61" s="12">
        <v>51000</v>
      </c>
      <c r="E61" s="4" t="str">
        <v>Chennai</v>
      </c>
      <c r="F61" s="4">
        <v>2018</v>
      </c>
    </row>
    <row r="62" spans="1:6" ht="15.75" customHeight="1">
      <c r="A62" s="4" t="str">
        <v>E001</v>
      </c>
      <c r="B62" s="13" t="str">
        <v>Rahul Sharma</v>
      </c>
      <c r="C62" s="12" t="str">
        <v>Sales</v>
      </c>
      <c r="D62" s="12">
        <v>55000</v>
      </c>
      <c r="E62" s="4" t="str">
        <v>Delhi</v>
      </c>
      <c r="F62" s="4">
        <v>2021</v>
      </c>
    </row>
    <row r="63" spans="1:6" ht="15.75" customHeight="1">
      <c r="A63" s="4" t="str">
        <v>E007</v>
      </c>
      <c r="B63" s="13" t="str">
        <v>John Paul</v>
      </c>
      <c r="C63" s="12" t="str">
        <v>Sales</v>
      </c>
      <c r="D63" s="12">
        <v>60000</v>
      </c>
      <c r="E63" s="4" t="str">
        <v>Mumbai</v>
      </c>
      <c r="F63" s="4">
        <v>2023</v>
      </c>
    </row>
    <row r="64" spans="1:6" ht="15.75" customHeight="1">
      <c r="A64" s="3"/>
      <c r="B64" s="3"/>
      <c r="C64" s="3"/>
      <c r="D64" s="3"/>
      <c r="E64" s="3"/>
      <c r="F64" s="3"/>
    </row>
    <row r="65" spans="1:6" s="17" customFormat="1" ht="15.75" customHeight="1">
      <c r="A65" s="17" t="s">
        <v>46</v>
      </c>
    </row>
    <row r="66" spans="1:6" ht="15.75" customHeight="1">
      <c r="A66" s="9" t="s">
        <v>0</v>
      </c>
      <c r="B66" s="11" t="s">
        <v>1</v>
      </c>
      <c r="C66" s="11" t="s">
        <v>2</v>
      </c>
      <c r="D66" s="11" t="s">
        <v>3</v>
      </c>
      <c r="E66" s="9" t="s">
        <v>4</v>
      </c>
      <c r="F66" s="10" t="s">
        <v>5</v>
      </c>
    </row>
    <row r="67" spans="1:6" ht="15.75" customHeight="1">
      <c r="A67" s="6" t="str" cm="1">
        <f t="array" ref="A67:F76">_xlfn._xlws.SORT(A2:F11,6,1)</f>
        <v>E006</v>
      </c>
      <c r="B67" s="4" t="str">
        <v>Maria Lopez</v>
      </c>
      <c r="C67" s="4" t="str">
        <v>Marketing</v>
      </c>
      <c r="D67" s="4">
        <v>51000</v>
      </c>
      <c r="E67" s="4" t="str">
        <v>Chennai</v>
      </c>
      <c r="F67" s="12">
        <v>2018</v>
      </c>
    </row>
    <row r="68" spans="1:6" ht="15.75" customHeight="1">
      <c r="A68" s="4" t="str">
        <v>E002</v>
      </c>
      <c r="B68" s="4" t="str">
        <v>Anita Singh</v>
      </c>
      <c r="C68" s="4" t="str">
        <v>HR</v>
      </c>
      <c r="D68" s="4">
        <v>48000</v>
      </c>
      <c r="E68" s="4" t="str">
        <v>Mumbai</v>
      </c>
      <c r="F68" s="12">
        <v>2019</v>
      </c>
    </row>
    <row r="69" spans="1:6" ht="15.75" customHeight="1">
      <c r="A69" s="4" t="str">
        <v>E009</v>
      </c>
      <c r="B69" s="4" t="str">
        <v>Rohan Mehta</v>
      </c>
      <c r="C69" s="4" t="str">
        <v>IT</v>
      </c>
      <c r="D69" s="4">
        <v>73000</v>
      </c>
      <c r="E69" s="4" t="str">
        <v>Hyderabad</v>
      </c>
      <c r="F69" s="12">
        <v>2019</v>
      </c>
    </row>
    <row r="70" spans="1:6" ht="15.75" customHeight="1">
      <c r="A70" s="4" t="str">
        <v>E003</v>
      </c>
      <c r="B70" s="4" t="str">
        <v>David Mathews</v>
      </c>
      <c r="C70" s="4" t="str">
        <v>IT</v>
      </c>
      <c r="D70" s="4">
        <v>72000</v>
      </c>
      <c r="E70" s="4" t="str">
        <v>Bangalore</v>
      </c>
      <c r="F70" s="12">
        <v>2020</v>
      </c>
    </row>
    <row r="71" spans="1:6" ht="15.75" customHeight="1">
      <c r="A71" s="4" t="str">
        <v>E010</v>
      </c>
      <c r="B71" s="4" t="str">
        <v>Aman Verma</v>
      </c>
      <c r="C71" s="4" t="str">
        <v>Finance</v>
      </c>
      <c r="D71" s="4">
        <v>54000</v>
      </c>
      <c r="E71" s="4" t="str">
        <v>Delhi</v>
      </c>
      <c r="F71" s="12">
        <v>2020</v>
      </c>
    </row>
    <row r="72" spans="1:6" ht="15.75" customHeight="1">
      <c r="A72" s="4" t="str">
        <v>E001</v>
      </c>
      <c r="B72" s="4" t="str">
        <v>Rahul Sharma</v>
      </c>
      <c r="C72" s="4" t="str">
        <v>Sales</v>
      </c>
      <c r="D72" s="4">
        <v>55000</v>
      </c>
      <c r="E72" s="4" t="str">
        <v>Delhi</v>
      </c>
      <c r="F72" s="12">
        <v>2021</v>
      </c>
    </row>
    <row r="73" spans="1:6" ht="15.75" customHeight="1">
      <c r="A73" s="4" t="str">
        <v>E005</v>
      </c>
      <c r="B73" s="4" t="str">
        <v>Sunil Kumar</v>
      </c>
      <c r="C73" s="4" t="str">
        <v>Finance</v>
      </c>
      <c r="D73" s="4">
        <v>58000</v>
      </c>
      <c r="E73" s="4" t="str">
        <v>Delhi</v>
      </c>
      <c r="F73" s="12">
        <v>2021</v>
      </c>
    </row>
    <row r="74" spans="1:6" ht="15.75" customHeight="1">
      <c r="A74" s="4" t="str">
        <v>E004</v>
      </c>
      <c r="B74" s="4" t="str">
        <v>Priya R</v>
      </c>
      <c r="C74" s="4" t="str">
        <v>IT</v>
      </c>
      <c r="D74" s="4">
        <v>69000</v>
      </c>
      <c r="E74" s="4" t="str">
        <v>Pune</v>
      </c>
      <c r="F74" s="12">
        <v>2022</v>
      </c>
    </row>
    <row r="75" spans="1:6" ht="15.75" customHeight="1">
      <c r="A75" s="4" t="str">
        <v>E008</v>
      </c>
      <c r="B75" s="4" t="str">
        <v>Khushi Jain</v>
      </c>
      <c r="C75" s="4" t="str">
        <v>HR</v>
      </c>
      <c r="D75" s="4">
        <v>47000</v>
      </c>
      <c r="E75" s="4" t="str">
        <v>Bangalore</v>
      </c>
      <c r="F75" s="12">
        <v>2022</v>
      </c>
    </row>
    <row r="76" spans="1:6" ht="15.75" customHeight="1">
      <c r="A76" s="4" t="str">
        <v>E007</v>
      </c>
      <c r="B76" s="4" t="str">
        <v>John Paul</v>
      </c>
      <c r="C76" s="4" t="str">
        <v>Sales</v>
      </c>
      <c r="D76" s="4">
        <v>60000</v>
      </c>
      <c r="E76" s="4" t="str">
        <v>Mumbai</v>
      </c>
      <c r="F76" s="12">
        <v>2023</v>
      </c>
    </row>
    <row r="79" spans="1:6" s="16" customFormat="1" ht="15.75" customHeight="1">
      <c r="A79" s="16" t="s">
        <v>47</v>
      </c>
    </row>
    <row r="80" spans="1:6" s="17" customFormat="1" ht="15.75" customHeight="1">
      <c r="A80" s="17" t="s">
        <v>48</v>
      </c>
    </row>
    <row r="81" spans="1:6" ht="15.75" customHeight="1">
      <c r="A81" s="4" t="s">
        <v>2</v>
      </c>
      <c r="B81" s="14" t="s">
        <v>16</v>
      </c>
      <c r="C81" s="3"/>
      <c r="D81" s="3"/>
      <c r="E81" s="3"/>
      <c r="F81" s="3"/>
    </row>
    <row r="82" spans="1:6" ht="15.75" customHeight="1">
      <c r="A82" s="9" t="s">
        <v>0</v>
      </c>
      <c r="B82" s="11" t="s">
        <v>1</v>
      </c>
      <c r="C82" s="10" t="s">
        <v>2</v>
      </c>
      <c r="D82" s="11" t="s">
        <v>3</v>
      </c>
      <c r="E82" s="9" t="s">
        <v>4</v>
      </c>
      <c r="F82" s="11" t="s">
        <v>5</v>
      </c>
    </row>
    <row r="83" spans="1:6" ht="15.75" customHeight="1">
      <c r="A83" s="6" t="str" cm="1">
        <f t="array" ref="A83:F85">_xlfn._xlws.FILTER(A2:F11,C2:C11 = B81)</f>
        <v>E003</v>
      </c>
      <c r="B83" s="4" t="str">
        <v>David Mathews</v>
      </c>
      <c r="C83" s="12" t="str">
        <v>IT</v>
      </c>
      <c r="D83" s="4">
        <v>72000</v>
      </c>
      <c r="E83" s="4" t="str">
        <v>Bangalore</v>
      </c>
      <c r="F83" s="4">
        <v>2020</v>
      </c>
    </row>
    <row r="84" spans="1:6" ht="15.75" customHeight="1">
      <c r="A84" s="4" t="str">
        <v>E004</v>
      </c>
      <c r="B84" s="4" t="str">
        <v>Priya R</v>
      </c>
      <c r="C84" s="12" t="str">
        <v>IT</v>
      </c>
      <c r="D84" s="4">
        <v>69000</v>
      </c>
      <c r="E84" s="4" t="str">
        <v>Pune</v>
      </c>
      <c r="F84" s="4">
        <v>2022</v>
      </c>
    </row>
    <row r="85" spans="1:6" ht="15.75" customHeight="1">
      <c r="A85" s="4" t="str">
        <v>E009</v>
      </c>
      <c r="B85" s="4" t="str">
        <v>Rohan Mehta</v>
      </c>
      <c r="C85" s="12" t="str">
        <v>IT</v>
      </c>
      <c r="D85" s="4">
        <v>73000</v>
      </c>
      <c r="E85" s="4" t="str">
        <v>Hyderabad</v>
      </c>
      <c r="F85" s="4">
        <v>2019</v>
      </c>
    </row>
    <row r="86" spans="1:6" ht="15.75" customHeight="1">
      <c r="A86" s="3"/>
      <c r="B86" s="3"/>
      <c r="C86" s="3"/>
      <c r="D86" s="3"/>
      <c r="E86" s="3"/>
      <c r="F86" s="3"/>
    </row>
    <row r="87" spans="1:6" s="17" customFormat="1" ht="15.75" customHeight="1">
      <c r="A87" s="17" t="s">
        <v>49</v>
      </c>
    </row>
    <row r="88" spans="1:6" ht="15.75" customHeight="1">
      <c r="A88" s="4" t="s">
        <v>3</v>
      </c>
      <c r="B88" s="15">
        <v>60000</v>
      </c>
      <c r="C88" s="3"/>
      <c r="D88" s="3"/>
      <c r="E88" s="3"/>
      <c r="F88" s="3"/>
    </row>
    <row r="89" spans="1:6" ht="15.75" customHeight="1">
      <c r="A89" s="9" t="s">
        <v>0</v>
      </c>
      <c r="B89" s="11" t="s">
        <v>1</v>
      </c>
      <c r="C89" s="11" t="s">
        <v>2</v>
      </c>
      <c r="D89" s="10" t="s">
        <v>3</v>
      </c>
      <c r="E89" s="9" t="s">
        <v>4</v>
      </c>
      <c r="F89" s="11" t="s">
        <v>5</v>
      </c>
    </row>
    <row r="90" spans="1:6" ht="15.75" customHeight="1">
      <c r="A90" s="6" t="str" cm="1">
        <f t="array" ref="A90:F92">_xlfn._xlws.FILTER(A2:F11,D2:D11 &gt; B88)</f>
        <v>E003</v>
      </c>
      <c r="B90" s="4" t="str">
        <v>David Mathews</v>
      </c>
      <c r="C90" s="4" t="str">
        <v>IT</v>
      </c>
      <c r="D90" s="12">
        <v>72000</v>
      </c>
      <c r="E90" s="4" t="str">
        <v>Bangalore</v>
      </c>
      <c r="F90" s="4">
        <v>2020</v>
      </c>
    </row>
    <row r="91" spans="1:6" ht="15.75" customHeight="1">
      <c r="A91" s="4" t="str">
        <v>E004</v>
      </c>
      <c r="B91" s="4" t="str">
        <v>Priya R</v>
      </c>
      <c r="C91" s="4" t="str">
        <v>IT</v>
      </c>
      <c r="D91" s="12">
        <v>69000</v>
      </c>
      <c r="E91" s="4" t="str">
        <v>Pune</v>
      </c>
      <c r="F91" s="4">
        <v>2022</v>
      </c>
    </row>
    <row r="92" spans="1:6" ht="15.75" customHeight="1">
      <c r="A92" s="4" t="str">
        <v>E009</v>
      </c>
      <c r="B92" s="4" t="str">
        <v>Rohan Mehta</v>
      </c>
      <c r="C92" s="4" t="str">
        <v>IT</v>
      </c>
      <c r="D92" s="12">
        <v>73000</v>
      </c>
      <c r="E92" s="4" t="str">
        <v>Hyderabad</v>
      </c>
      <c r="F92" s="4">
        <v>2019</v>
      </c>
    </row>
    <row r="93" spans="1:6" ht="15.75" customHeight="1">
      <c r="A93" s="3"/>
      <c r="B93" s="3"/>
      <c r="C93" s="3"/>
      <c r="D93" s="3"/>
      <c r="E93" s="3"/>
      <c r="F93" s="3"/>
    </row>
    <row r="94" spans="1:6" s="17" customFormat="1" ht="15.75" customHeight="1">
      <c r="A94" s="17" t="s">
        <v>50</v>
      </c>
    </row>
    <row r="95" spans="1:6" ht="15.75" customHeight="1">
      <c r="A95" s="4" t="s">
        <v>4</v>
      </c>
      <c r="B95" s="15" t="s">
        <v>9</v>
      </c>
      <c r="C95" s="3"/>
      <c r="D95" s="3"/>
      <c r="E95" s="3"/>
      <c r="F95" s="3"/>
    </row>
    <row r="96" spans="1:6" ht="15.75" customHeight="1">
      <c r="A96" s="9" t="s">
        <v>0</v>
      </c>
      <c r="B96" s="11" t="s">
        <v>1</v>
      </c>
      <c r="C96" s="11" t="s">
        <v>2</v>
      </c>
      <c r="D96" s="11" t="s">
        <v>3</v>
      </c>
      <c r="E96" s="10" t="s">
        <v>4</v>
      </c>
      <c r="F96" s="11" t="s">
        <v>5</v>
      </c>
    </row>
    <row r="97" spans="1:6" ht="15.75" customHeight="1">
      <c r="A97" s="6" t="str" cm="1">
        <f t="array" ref="A97:F99">_xlfn._xlws.FILTER(A2:F11,E2:E11 = B95)</f>
        <v>E001</v>
      </c>
      <c r="B97" s="4" t="str">
        <v>Rahul Sharma</v>
      </c>
      <c r="C97" s="4" t="str">
        <v>Sales</v>
      </c>
      <c r="D97" s="4">
        <v>55000</v>
      </c>
      <c r="E97" s="12" t="str">
        <v>Delhi</v>
      </c>
      <c r="F97" s="4">
        <v>2021</v>
      </c>
    </row>
    <row r="98" spans="1:6" ht="15.75" customHeight="1">
      <c r="A98" s="4" t="str">
        <v>E005</v>
      </c>
      <c r="B98" s="4" t="str">
        <v>Sunil Kumar</v>
      </c>
      <c r="C98" s="4" t="str">
        <v>Finance</v>
      </c>
      <c r="D98" s="4">
        <v>58000</v>
      </c>
      <c r="E98" s="12" t="str">
        <v>Delhi</v>
      </c>
      <c r="F98" s="4">
        <v>2021</v>
      </c>
    </row>
    <row r="99" spans="1:6" ht="15.75" customHeight="1">
      <c r="A99" s="4" t="str">
        <v>E010</v>
      </c>
      <c r="B99" s="4" t="str">
        <v>Aman Verma</v>
      </c>
      <c r="C99" s="4" t="str">
        <v>Finance</v>
      </c>
      <c r="D99" s="4">
        <v>54000</v>
      </c>
      <c r="E99" s="12" t="str">
        <v>Delhi</v>
      </c>
      <c r="F99" s="4">
        <v>2020</v>
      </c>
    </row>
    <row r="102" spans="1:6" s="16" customFormat="1" ht="15.75" customHeight="1">
      <c r="A102" s="16" t="s">
        <v>51</v>
      </c>
    </row>
    <row r="103" spans="1:6" s="17" customFormat="1" ht="15.75" customHeight="1">
      <c r="A103" s="17" t="s">
        <v>52</v>
      </c>
    </row>
    <row r="104" spans="1:6" ht="15.75" customHeight="1">
      <c r="A104" s="10" t="s">
        <v>2</v>
      </c>
      <c r="B104" s="3"/>
      <c r="C104" s="3"/>
      <c r="D104" s="3"/>
    </row>
    <row r="105" spans="1:6" ht="15.75" customHeight="1">
      <c r="A105" s="12" t="str" cm="1">
        <f t="array" ref="A105:A109">_xlfn.UNIQUE(C2:C11,FALSE,FALSE)</f>
        <v>Sales</v>
      </c>
      <c r="B105" s="3"/>
      <c r="C105" s="3"/>
      <c r="D105" s="3"/>
    </row>
    <row r="106" spans="1:6" ht="15.75" customHeight="1">
      <c r="A106" s="12" t="str">
        <v>HR</v>
      </c>
      <c r="B106" s="3"/>
      <c r="C106" s="3"/>
      <c r="D106" s="3"/>
    </row>
    <row r="107" spans="1:6" ht="15.75" customHeight="1">
      <c r="A107" s="12" t="str">
        <v>IT</v>
      </c>
      <c r="B107" s="3"/>
      <c r="C107" s="3"/>
      <c r="D107" s="3"/>
    </row>
    <row r="108" spans="1:6" ht="15.75" customHeight="1">
      <c r="A108" s="12" t="str">
        <v>Finance</v>
      </c>
      <c r="B108" s="3"/>
      <c r="C108" s="3"/>
      <c r="D108" s="3"/>
    </row>
    <row r="109" spans="1:6" ht="15.75" customHeight="1">
      <c r="A109" s="12" t="str">
        <v>Marketing</v>
      </c>
      <c r="B109" s="3"/>
      <c r="C109" s="3"/>
      <c r="D109" s="3"/>
    </row>
    <row r="110" spans="1:6" ht="15.75" customHeight="1">
      <c r="A110" s="3"/>
      <c r="B110" s="3"/>
      <c r="C110" s="3"/>
      <c r="D110" s="3"/>
    </row>
    <row r="111" spans="1:6" s="17" customFormat="1" ht="15.75" customHeight="1">
      <c r="A111" s="17" t="s">
        <v>53</v>
      </c>
    </row>
    <row r="112" spans="1:6" ht="15.75" customHeight="1">
      <c r="A112" s="10" t="s">
        <v>5</v>
      </c>
      <c r="B112" s="3"/>
      <c r="C112" s="3"/>
      <c r="D112" s="3"/>
    </row>
    <row r="113" spans="1:4" ht="15.75" customHeight="1">
      <c r="A113" s="12" cm="1">
        <f t="array" ref="A113:A118">_xlfn.SEQUENCE(6,1,2018,1)</f>
        <v>2018</v>
      </c>
      <c r="B113" s="3"/>
      <c r="C113" s="3"/>
      <c r="D113" s="3"/>
    </row>
    <row r="114" spans="1:4" ht="15.75" customHeight="1">
      <c r="A114" s="12">
        <v>2019</v>
      </c>
      <c r="B114" s="3"/>
      <c r="C114" s="3"/>
      <c r="D114" s="3"/>
    </row>
    <row r="115" spans="1:4" ht="15.75" customHeight="1">
      <c r="A115" s="12">
        <v>2020</v>
      </c>
      <c r="B115" s="3"/>
      <c r="C115" s="3"/>
      <c r="D115" s="3"/>
    </row>
    <row r="116" spans="1:4" ht="15.75" customHeight="1">
      <c r="A116" s="12">
        <v>2021</v>
      </c>
      <c r="B116" s="3"/>
      <c r="C116" s="3"/>
      <c r="D116" s="3"/>
    </row>
    <row r="117" spans="1:4" ht="15.75" customHeight="1">
      <c r="A117" s="12">
        <v>2022</v>
      </c>
      <c r="B117" s="3"/>
      <c r="C117" s="3"/>
      <c r="D117" s="3"/>
    </row>
    <row r="118" spans="1:4" ht="15.75" customHeight="1">
      <c r="A118" s="12">
        <v>2023</v>
      </c>
      <c r="B118" s="3"/>
      <c r="C118" s="3"/>
      <c r="D118" s="3"/>
    </row>
    <row r="121" spans="1:4" s="16" customFormat="1" ht="15.75" customHeight="1">
      <c r="A121" s="16" t="s">
        <v>54</v>
      </c>
    </row>
    <row r="122" spans="1:4" s="17" customFormat="1" ht="15.75" customHeight="1">
      <c r="A122" s="17" t="s">
        <v>55</v>
      </c>
    </row>
    <row r="123" spans="1:4" ht="15.75" customHeight="1">
      <c r="A123" s="10" t="s">
        <v>3</v>
      </c>
      <c r="B123" s="3"/>
    </row>
    <row r="124" spans="1:4" ht="15.75" customHeight="1">
      <c r="A124" s="12" cm="1">
        <f t="array" aca="1" ref="A124:A133" ca="1">_xlfn.RANDARRAY(10,1,40000,80000,TRUE)</f>
        <v>40591</v>
      </c>
      <c r="B124" s="3"/>
    </row>
    <row r="125" spans="1:4" ht="15.75" customHeight="1">
      <c r="A125" s="12">
        <f ca="1"/>
        <v>77241</v>
      </c>
      <c r="B125" s="3"/>
    </row>
    <row r="126" spans="1:4" ht="15.75" customHeight="1">
      <c r="A126" s="12">
        <f ca="1"/>
        <v>48289</v>
      </c>
      <c r="B126" s="3"/>
    </row>
    <row r="127" spans="1:4" ht="15.75" customHeight="1">
      <c r="A127" s="12">
        <f ca="1"/>
        <v>42777</v>
      </c>
      <c r="B127" s="3"/>
    </row>
    <row r="128" spans="1:4" ht="15.75" customHeight="1">
      <c r="A128" s="12">
        <f ca="1"/>
        <v>46030</v>
      </c>
      <c r="B128" s="3"/>
    </row>
    <row r="129" spans="1:2" ht="15.75" customHeight="1">
      <c r="A129" s="12">
        <f ca="1"/>
        <v>74312</v>
      </c>
      <c r="B129" s="3"/>
    </row>
    <row r="130" spans="1:2" ht="15.75" customHeight="1">
      <c r="A130" s="12">
        <f ca="1"/>
        <v>74906</v>
      </c>
      <c r="B130" s="3"/>
    </row>
    <row r="131" spans="1:2" ht="15.75" customHeight="1">
      <c r="A131" s="12">
        <f ca="1"/>
        <v>47734</v>
      </c>
      <c r="B131" s="3"/>
    </row>
    <row r="132" spans="1:2" ht="15.75" customHeight="1">
      <c r="A132" s="12">
        <f ca="1"/>
        <v>56130</v>
      </c>
      <c r="B132" s="3"/>
    </row>
    <row r="133" spans="1:2" ht="15.75" customHeight="1">
      <c r="A133" s="12">
        <f ca="1"/>
        <v>77110</v>
      </c>
      <c r="B133" s="3"/>
    </row>
  </sheetData>
  <mergeCells count="17">
    <mergeCell ref="A102:XFD102"/>
    <mergeCell ref="A103:XFD103"/>
    <mergeCell ref="A111:XFD111"/>
    <mergeCell ref="A121:XFD121"/>
    <mergeCell ref="A122:XFD122"/>
    <mergeCell ref="A52:XFD52"/>
    <mergeCell ref="A65:XFD65"/>
    <mergeCell ref="A79:XFD79"/>
    <mergeCell ref="A80:XFD80"/>
    <mergeCell ref="A87:XFD87"/>
    <mergeCell ref="A94:XFD94"/>
    <mergeCell ref="A16:XFD16"/>
    <mergeCell ref="A20:XFD20"/>
    <mergeCell ref="A15:XFD15"/>
    <mergeCell ref="A24:XFD24"/>
    <mergeCell ref="A25:XFD25"/>
    <mergeCell ref="A38:XF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Derin Girish</cp:lastModifiedBy>
  <dcterms:modified xsi:type="dcterms:W3CDTF">2026-06-08T14:20:03Z</dcterms:modified>
</cp:coreProperties>
</file>