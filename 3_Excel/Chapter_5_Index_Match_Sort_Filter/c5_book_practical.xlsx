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ITBRIDGE_Learning\3_Excel\Chapter_5_Index_Match_Sort_Filter\"/>
    </mc:Choice>
  </mc:AlternateContent>
  <xr:revisionPtr revIDLastSave="0" documentId="13_ncr:1_{94FD5C3C-F9DE-4CCC-88C4-751A281D414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VLOOKUP" sheetId="15" r:id="rId1"/>
    <sheet name="XLOOKUP" sheetId="16" r:id="rId2"/>
    <sheet name="INDEX and MATCH" sheetId="17" r:id="rId3"/>
    <sheet name="UNIQUE and SEQUENCE" sheetId="23" r:id="rId4"/>
    <sheet name="SORT and SORTBY" sheetId="20" r:id="rId5"/>
    <sheet name="FILTER" sheetId="21" r:id="rId6"/>
    <sheet name="RANDARRAY" sheetId="2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7" l="1"/>
  <c r="N37" i="16"/>
  <c r="D38" i="16"/>
  <c r="A15" i="22" a="1"/>
  <c r="A15" i="22" s="1"/>
  <c r="A6" i="22" a="1"/>
  <c r="A6" i="22" s="1"/>
  <c r="H11" i="23" a="1"/>
  <c r="H11" i="23" s="1"/>
  <c r="I21" i="23" a="1"/>
  <c r="I21" i="23" s="1"/>
  <c r="B13" i="23" a="1"/>
  <c r="B13" i="23" s="1"/>
  <c r="B11" i="21" a="1"/>
  <c r="B11" i="21" s="1"/>
  <c r="C55" i="20" a="1"/>
  <c r="C55" i="20" s="1"/>
  <c r="H30" i="20" a="1"/>
  <c r="H30" i="20" s="1"/>
  <c r="E30" i="20" a="1"/>
  <c r="E30" i="20" s="1"/>
  <c r="B30" i="20" a="1"/>
  <c r="B30" i="20" s="1"/>
  <c r="B11" i="20" a="1"/>
  <c r="B11" i="20" s="1"/>
  <c r="B24" i="17"/>
  <c r="B10" i="17"/>
  <c r="S8" i="16" a="1"/>
  <c r="S8" i="16" s="1"/>
  <c r="I4" i="15"/>
  <c r="E15" i="16"/>
  <c r="D50" i="16" a="1"/>
  <c r="D50" i="16" s="1"/>
  <c r="M17" i="16" a="1"/>
  <c r="P17" i="16" s="1"/>
  <c r="B12" i="15"/>
  <c r="M17" i="16" l="1"/>
  <c r="Q17" i="16"/>
  <c r="N17" i="16"/>
  <c r="O17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<sst xmlns="http://schemas.openxmlformats.org/spreadsheetml/2006/main" count="298" uniqueCount="186">
  <si>
    <t>Name</t>
  </si>
  <si>
    <t>Guy</t>
  </si>
  <si>
    <t>Lev</t>
  </si>
  <si>
    <t>Yoav</t>
  </si>
  <si>
    <t>Age</t>
  </si>
  <si>
    <t>Danny</t>
  </si>
  <si>
    <t>John</t>
  </si>
  <si>
    <t>Dean</t>
  </si>
  <si>
    <t>Jack</t>
  </si>
  <si>
    <t>Dina</t>
  </si>
  <si>
    <t>Answer:</t>
  </si>
  <si>
    <t>Black</t>
  </si>
  <si>
    <t>Yellow</t>
  </si>
  <si>
    <t>Jake</t>
  </si>
  <si>
    <t>New York</t>
  </si>
  <si>
    <t>&lt;= Insert formula here</t>
  </si>
  <si>
    <t>Type</t>
  </si>
  <si>
    <t>Alex</t>
  </si>
  <si>
    <t>&lt;- Insert formula here!</t>
  </si>
  <si>
    <t>ID Number</t>
  </si>
  <si>
    <t>Use the VLOOKUP function to find where Tina and Dani work:</t>
  </si>
  <si>
    <t>Workplace</t>
  </si>
  <si>
    <t>Dani</t>
  </si>
  <si>
    <t>Rafi</t>
  </si>
  <si>
    <t>Tina</t>
  </si>
  <si>
    <t>List of employees:</t>
  </si>
  <si>
    <t>What is the age of ID 57564?</t>
  </si>
  <si>
    <t>Company</t>
  </si>
  <si>
    <t>Sean</t>
  </si>
  <si>
    <t>Amazon</t>
  </si>
  <si>
    <t>Sarah</t>
  </si>
  <si>
    <t>Google</t>
  </si>
  <si>
    <t>&lt;- Please enter formula</t>
  </si>
  <si>
    <t>Microsoft</t>
  </si>
  <si>
    <t>Joe</t>
  </si>
  <si>
    <t>Apple</t>
  </si>
  <si>
    <t>Netflix</t>
  </si>
  <si>
    <t>Disney</t>
  </si>
  <si>
    <t>Sharon</t>
  </si>
  <si>
    <t>Tesla</t>
  </si>
  <si>
    <t>Gil</t>
  </si>
  <si>
    <t>Facebook</t>
  </si>
  <si>
    <t>Basic XLOOKUP Usage</t>
  </si>
  <si>
    <t>Return All Matching Contents</t>
  </si>
  <si>
    <t>Use XLOOKUP to find the age of Jack</t>
  </si>
  <si>
    <t>Return all car details for the car with Plate Number 5544667</t>
  </si>
  <si>
    <t>Michael</t>
  </si>
  <si>
    <t>Car</t>
  </si>
  <si>
    <t>Plate Number</t>
  </si>
  <si>
    <t>Color</t>
  </si>
  <si>
    <t>Model Year</t>
  </si>
  <si>
    <t>Toyota</t>
  </si>
  <si>
    <t>Corola</t>
  </si>
  <si>
    <t>Red</t>
  </si>
  <si>
    <t>Russel</t>
  </si>
  <si>
    <t>Nissan</t>
  </si>
  <si>
    <t>X Trail</t>
  </si>
  <si>
    <t>Subaru</t>
  </si>
  <si>
    <t>Impreza</t>
  </si>
  <si>
    <t>Dan</t>
  </si>
  <si>
    <t>Mercedes</t>
  </si>
  <si>
    <t>S 600</t>
  </si>
  <si>
    <t>Honda</t>
  </si>
  <si>
    <t>Civic</t>
  </si>
  <si>
    <t>Blue</t>
  </si>
  <si>
    <t>Name:</t>
  </si>
  <si>
    <t>&lt;- Insert formula here</t>
  </si>
  <si>
    <t>Plate Number:</t>
  </si>
  <si>
    <t>^ Insert formula above</t>
  </si>
  <si>
    <t>Return last matching value</t>
  </si>
  <si>
    <t>Value Not Found</t>
  </si>
  <si>
    <t>What is Dina's favorite color?</t>
  </si>
  <si>
    <t>Note that some names appear more than once in the table!</t>
  </si>
  <si>
    <t>In case of duplicates, return last matching value.</t>
  </si>
  <si>
    <t>What is Jacob's favorite food?</t>
  </si>
  <si>
    <t>In case Jacob's name ins't in the table, return "Not found"</t>
  </si>
  <si>
    <t>City</t>
  </si>
  <si>
    <t>Favorite Color</t>
  </si>
  <si>
    <t>Favorite food</t>
  </si>
  <si>
    <t>London</t>
  </si>
  <si>
    <t>Green</t>
  </si>
  <si>
    <t>Lobster</t>
  </si>
  <si>
    <t>Joel</t>
  </si>
  <si>
    <t>Tel Aviv</t>
  </si>
  <si>
    <t>Falafel</t>
  </si>
  <si>
    <t>Melbourne</t>
  </si>
  <si>
    <t>Pasta</t>
  </si>
  <si>
    <t>Sam</t>
  </si>
  <si>
    <t>Syndey</t>
  </si>
  <si>
    <t>Pizza</t>
  </si>
  <si>
    <t>Ralph</t>
  </si>
  <si>
    <t>Beijing</t>
  </si>
  <si>
    <t>Hamburger</t>
  </si>
  <si>
    <t>Dallas</t>
  </si>
  <si>
    <t>Favorite food:</t>
  </si>
  <si>
    <t>Favorite Color:</t>
  </si>
  <si>
    <t>Here are some possible solutions -</t>
  </si>
  <si>
    <t>All solutions rely on using -1 in Search Mode (last argument):</t>
  </si>
  <si>
    <t>Method #1:</t>
  </si>
  <si>
    <t>=XLOOKUP(B14,A6:A12,C6:C12,,,-1)</t>
  </si>
  <si>
    <t>Here we keep "not found" and "match mode" empty.</t>
  </si>
  <si>
    <t>Method #2:</t>
  </si>
  <si>
    <t>=XLOOKUP(B14,A6:A12,C6:C12,"not found",,-1')</t>
  </si>
  <si>
    <t>Here we use "not found" message in our if_not_found argument</t>
  </si>
  <si>
    <t>Method #3:</t>
  </si>
  <si>
    <t>=XLOOKUP(B14,A6:A12,C6:C12,,0,-1)</t>
  </si>
  <si>
    <t>Using match mode 0 means using exact match (default behavior)</t>
  </si>
  <si>
    <t>Use INDEX formula to return name the 4th company in the list</t>
  </si>
  <si>
    <t>Alphabet</t>
  </si>
  <si>
    <t>Barclays</t>
  </si>
  <si>
    <t>Corning</t>
  </si>
  <si>
    <t>Using Index&amp;Match, find the ID Number of David</t>
  </si>
  <si>
    <t>Dell</t>
  </si>
  <si>
    <t>Exxon Mobile</t>
  </si>
  <si>
    <t>Bob</t>
  </si>
  <si>
    <t>Rami</t>
  </si>
  <si>
    <t>David</t>
  </si>
  <si>
    <t>Frank</t>
  </si>
  <si>
    <t>Use MATCH to return the position number of the letter F in the following array:</t>
  </si>
  <si>
    <t>Letter:</t>
  </si>
  <si>
    <t>A</t>
  </si>
  <si>
    <t>Z</t>
  </si>
  <si>
    <t>C</t>
  </si>
  <si>
    <t>X</t>
  </si>
  <si>
    <t>Y</t>
  </si>
  <si>
    <t>F</t>
  </si>
  <si>
    <t>W</t>
  </si>
  <si>
    <t>Use UNIQUE to extract only unique values from list:</t>
  </si>
  <si>
    <t>Numbers</t>
  </si>
  <si>
    <t>Use SEQUENCE to create a similar sequence to the following table:</t>
  </si>
  <si>
    <t>Answer: (insert formula in the yellow cell)</t>
  </si>
  <si>
    <t>&lt;Insert formula in the yellow cell</t>
  </si>
  <si>
    <t>SORT the following contestants by their rank, lowest to highest</t>
  </si>
  <si>
    <t>Rank</t>
  </si>
  <si>
    <t>Leroy</t>
  </si>
  <si>
    <t>Adi</t>
  </si>
  <si>
    <t>Anya</t>
  </si>
  <si>
    <t>Nemo</t>
  </si>
  <si>
    <t>EXERCISE 1 - BASIC SORT</t>
  </si>
  <si>
    <t>Points Round 2</t>
  </si>
  <si>
    <t>Total Points</t>
  </si>
  <si>
    <t>Use SORTBY to sort the names by number of points in a descending order. For each column separately.</t>
  </si>
  <si>
    <t>Hayley</t>
  </si>
  <si>
    <t>Points Round 1</t>
  </si>
  <si>
    <t>Jonny</t>
  </si>
  <si>
    <t>Jackey</t>
  </si>
  <si>
    <t>Carey</t>
  </si>
  <si>
    <t>Round 1</t>
  </si>
  <si>
    <t>Round 2</t>
  </si>
  <si>
    <t>Answer: (insert formulas in the yellow cells)</t>
  </si>
  <si>
    <t>&lt;Insert formula here</t>
  </si>
  <si>
    <t>EXERCISE 2 - ADVANCED SORT</t>
  </si>
  <si>
    <t>Sort the following range by the following criteria simultaneously:</t>
  </si>
  <si>
    <t>1. Group - by ascending order</t>
  </si>
  <si>
    <t>2. Country - by ascending order</t>
  </si>
  <si>
    <t>Group</t>
  </si>
  <si>
    <t>Country</t>
  </si>
  <si>
    <t>Score</t>
  </si>
  <si>
    <t>USA</t>
  </si>
  <si>
    <t>D</t>
  </si>
  <si>
    <t>Canada</t>
  </si>
  <si>
    <t>Robert</t>
  </si>
  <si>
    <t>B</t>
  </si>
  <si>
    <t>Israel</t>
  </si>
  <si>
    <t>UK</t>
  </si>
  <si>
    <t>Jay Jay</t>
  </si>
  <si>
    <t>Brazil</t>
  </si>
  <si>
    <t>Daniel</t>
  </si>
  <si>
    <t>Nigeria</t>
  </si>
  <si>
    <t>James</t>
  </si>
  <si>
    <t>Insert formula&gt;</t>
  </si>
  <si>
    <t>Use filter to extract only the companies from the Tech industry and their Market Cap. Ignore empty cells argument.</t>
  </si>
  <si>
    <t>Industry</t>
  </si>
  <si>
    <t>Market Cap (US Dollars Billions)</t>
  </si>
  <si>
    <t>Tech</t>
  </si>
  <si>
    <t>Walmart</t>
  </si>
  <si>
    <t>Retail</t>
  </si>
  <si>
    <t>Costco</t>
  </si>
  <si>
    <t>Macey's</t>
  </si>
  <si>
    <t>Market Cap (Billions US$)</t>
  </si>
  <si>
    <t>Create an array of random numbers in the size of 5x5.</t>
  </si>
  <si>
    <t>The numbers should be integers and between 1 to 20.</t>
  </si>
  <si>
    <t>Start the array from cell A6.</t>
  </si>
  <si>
    <t>Insert Formula:</t>
  </si>
  <si>
    <t>Fill range A15:A22 (8 rows) with random decimal numbers.</t>
  </si>
  <si>
    <t>The decimal numbers should range between 10.7 to 24.3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</si>
</sst>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7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17"/>
      <color theme="1"/>
      <name val="Arial"/>
      <family val="2"/>
    </font>
    <font>
      <sz val="11"/>
      <color rgb="FF444444"/>
      <name val="Calibri"/>
      <family val="2"/>
    </font>
    <font>
      <sz val="10"/>
      <color rgb="FF666666"/>
      <name val="Arial"/>
      <family val="2"/>
    </font>
    <font>
      <b/>
      <sz val="17"/>
      <color theme="1"/>
      <name val="Arial"/>
      <family val="2"/>
    </font>
    <font>
      <b/>
      <sz val="11"/>
      <color rgb="FFFF0000"/>
      <name val="Calibri"/>
      <family val="2"/>
    </font>
    <font>
      <b/>
      <sz val="9"/>
      <color rgb="FFFF0000"/>
      <name val="Calibri"/>
      <family val="2"/>
    </font>
    <font>
      <b/>
      <sz val="17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70AD47"/>
      <name val="Calibri"/>
      <family val="2"/>
    </font>
    <font>
      <b/>
      <sz val="11"/>
      <color rgb="FF4472C4"/>
      <name val="Calibri"/>
      <family val="2"/>
    </font>
    <font>
      <b/>
      <sz val="11"/>
      <color rgb="FFED7D3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3" borderId="1" xfId="0" applyFont="1" applyFill="1" applyBorder="1"/>
    <xf numFmtId="0" fontId="5" fillId="0" borderId="0" xfId="0" applyFont="1"/>
    <xf numFmtId="0" fontId="3" fillId="0" borderId="5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0" xfId="0" applyFont="1" applyFill="1"/>
    <xf numFmtId="0" fontId="4" fillId="0" borderId="2" xfId="0" applyFont="1" applyBorder="1"/>
    <xf numFmtId="0" fontId="3" fillId="0" borderId="5" xfId="0" applyFont="1" applyBorder="1"/>
    <xf numFmtId="0" fontId="4" fillId="0" borderId="5" xfId="0" applyFont="1" applyBorder="1"/>
    <xf numFmtId="0" fontId="3" fillId="0" borderId="8" xfId="0" applyFont="1" applyBorder="1"/>
    <xf numFmtId="0" fontId="3" fillId="0" borderId="6" xfId="0" applyFont="1" applyBorder="1"/>
    <xf numFmtId="0" fontId="4" fillId="0" borderId="3" xfId="0" applyFont="1" applyBorder="1"/>
    <xf numFmtId="0" fontId="3" fillId="0" borderId="3" xfId="0" applyFont="1" applyBorder="1"/>
    <xf numFmtId="0" fontId="3" fillId="0" borderId="4" xfId="0" applyFont="1" applyBorder="1"/>
    <xf numFmtId="0" fontId="3" fillId="5" borderId="3" xfId="0" applyFont="1" applyFill="1" applyBorder="1"/>
    <xf numFmtId="0" fontId="3" fillId="5" borderId="3" xfId="0" applyFont="1" applyFill="1" applyBorder="1" applyAlignment="1">
      <alignment horizontal="right"/>
    </xf>
    <xf numFmtId="0" fontId="3" fillId="5" borderId="0" xfId="0" applyFont="1" applyFill="1"/>
    <xf numFmtId="0" fontId="3" fillId="5" borderId="0" xfId="0" applyFont="1" applyFill="1" applyAlignment="1">
      <alignment horizontal="right"/>
    </xf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4" fillId="6" borderId="1" xfId="0" applyFont="1" applyFill="1" applyBorder="1"/>
    <xf numFmtId="0" fontId="9" fillId="0" borderId="0" xfId="0" applyFont="1"/>
    <xf numFmtId="0" fontId="8" fillId="3" borderId="1" xfId="0" applyFont="1" applyFill="1" applyBorder="1"/>
    <xf numFmtId="0" fontId="3" fillId="7" borderId="0" xfId="0" applyFont="1" applyFill="1" applyAlignment="1">
      <alignment horizontal="right"/>
    </xf>
    <xf numFmtId="0" fontId="7" fillId="6" borderId="1" xfId="0" applyFont="1" applyFill="1" applyBorder="1"/>
    <xf numFmtId="0" fontId="8" fillId="3" borderId="0" xfId="0" applyFont="1" applyFill="1"/>
    <xf numFmtId="0" fontId="11" fillId="3" borderId="0" xfId="0" applyFont="1" applyFill="1"/>
    <xf numFmtId="0" fontId="11" fillId="0" borderId="0" xfId="0" quotePrefix="1" applyFont="1"/>
    <xf numFmtId="0" fontId="12" fillId="0" borderId="0" xfId="0" quotePrefix="1" applyFont="1"/>
    <xf numFmtId="0" fontId="11" fillId="0" borderId="0" xfId="0" applyFont="1"/>
    <xf numFmtId="0" fontId="4" fillId="8" borderId="1" xfId="0" applyFont="1" applyFill="1" applyBorder="1"/>
    <xf numFmtId="0" fontId="3" fillId="8" borderId="1" xfId="0" applyFont="1" applyFill="1" applyBorder="1"/>
    <xf numFmtId="0" fontId="3" fillId="8" borderId="1" xfId="0" applyFont="1" applyFill="1" applyBorder="1" applyAlignment="1">
      <alignment horizontal="right"/>
    </xf>
    <xf numFmtId="0" fontId="14" fillId="0" borderId="0" xfId="0" applyFont="1"/>
    <xf numFmtId="0" fontId="4" fillId="9" borderId="1" xfId="0" applyFont="1" applyFill="1" applyBorder="1"/>
    <xf numFmtId="0" fontId="4" fillId="2" borderId="1" xfId="0" applyFont="1" applyFill="1" applyBorder="1"/>
    <xf numFmtId="0" fontId="3" fillId="9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15" fillId="4" borderId="0" xfId="0" applyFont="1" applyFill="1"/>
    <xf numFmtId="3" fontId="3" fillId="8" borderId="1" xfId="0" applyNumberFormat="1" applyFont="1" applyFill="1" applyBorder="1" applyAlignment="1">
      <alignment horizontal="right"/>
    </xf>
    <xf numFmtId="3" fontId="3" fillId="0" borderId="1" xfId="0" applyNumberFormat="1" applyFont="1" applyBorder="1"/>
    <xf numFmtId="0" fontId="3" fillId="0" borderId="0" xfId="0" applyFont="1" applyAlignment="1">
      <alignment wrapText="1"/>
    </xf>
    <xf numFmtId="0" fontId="18" fillId="0" borderId="0" xfId="0" applyFont="1"/>
    <xf numFmtId="0" fontId="17" fillId="0" borderId="13" xfId="0" applyFont="1" applyBorder="1" applyAlignment="1">
      <alignment wrapText="1"/>
    </xf>
    <xf numFmtId="0" fontId="19" fillId="0" borderId="13" xfId="0" applyFont="1" applyBorder="1"/>
    <xf numFmtId="3" fontId="20" fillId="0" borderId="13" xfId="0" applyNumberFormat="1" applyFont="1" applyBorder="1"/>
    <xf numFmtId="0" fontId="21" fillId="0" borderId="13" xfId="0" applyFont="1" applyBorder="1"/>
    <xf numFmtId="0" fontId="22" fillId="0" borderId="13" xfId="0" applyFont="1" applyBorder="1"/>
    <xf numFmtId="0" fontId="18" fillId="0" borderId="0" xfId="0" applyFont="1" applyAlignment="1">
      <alignment wrapText="1"/>
    </xf>
    <xf numFmtId="0" fontId="18" fillId="10" borderId="0" xfId="0" applyFont="1" applyFill="1"/>
    <xf numFmtId="0" fontId="17" fillId="0" borderId="0" xfId="0" applyFont="1"/>
    <xf numFmtId="0" fontId="18" fillId="0" borderId="13" xfId="0" applyFont="1" applyBorder="1"/>
    <xf numFmtId="0" fontId="18" fillId="10" borderId="1" xfId="0" applyFont="1" applyFill="1" applyBorder="1"/>
    <xf numFmtId="0" fontId="18" fillId="0" borderId="1" xfId="0" applyFont="1" applyBorder="1"/>
    <xf numFmtId="0" fontId="19" fillId="0" borderId="0" xfId="0" applyFont="1"/>
    <xf numFmtId="0" fontId="5" fillId="0" borderId="6" xfId="0" applyFont="1" applyBorder="1"/>
    <xf numFmtId="0" fontId="1" fillId="0" borderId="0" xfId="0" applyFont="1"/>
    <xf numFmtId="0" fontId="1" fillId="0" borderId="2" xfId="0" applyFont="1" applyBorder="1"/>
    <xf numFmtId="0" fontId="1" fillId="0" borderId="9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right"/>
    </xf>
    <xf numFmtId="0" fontId="0" fillId="0" borderId="0" xfId="0"/>
    <xf numFmtId="0" fontId="2" fillId="0" borderId="6" xfId="0" applyFont="1" applyBorder="1"/>
    <xf numFmtId="0" fontId="3" fillId="0" borderId="0" xfId="0" applyFont="1"/>
    <xf numFmtId="0" fontId="4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4" fillId="0" borderId="0" xfId="0" applyFont="1"/>
    <xf numFmtId="0" fontId="8" fillId="0" borderId="0" xfId="0" applyFont="1"/>
    <xf numFmtId="0" fontId="10" fillId="0" borderId="2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5" xfId="0" applyFont="1" applyBorder="1"/>
    <xf numFmtId="0" fontId="6" fillId="0" borderId="2" xfId="0" applyFont="1" applyBorder="1" applyAlignment="1">
      <alignment horizontal="center"/>
    </xf>
    <xf numFmtId="0" fontId="17" fillId="0" borderId="0" xfId="0" applyFont="1" applyAlignment="1">
      <alignment wrapText="1" readingOrder="1"/>
    </xf>
    <xf numFmtId="0" fontId="18" fillId="0" borderId="6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13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5" fillId="8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>
    <outlinePr summaryBelow="0" summaryRight="0"/>
  </sheetPr>
  <dimension ref="A1:L18"/>
  <sheetViews>
    <sheetView workbookViewId="0">
      <selection activeCell="I5" sqref="I5"/>
    </sheetView>
  </sheetViews>
  <sheetFormatPr defaultColWidth="14.44140625" defaultRowHeight="15" customHeight="1" x14ac:dyDescent="0.3"/>
  <sheetData>
    <row r="1" spans="1:12" x14ac:dyDescent="0.3">
      <c r="A1" s="12" t="s">
        <v>19</v>
      </c>
      <c r="B1" s="17" t="s">
        <v>0</v>
      </c>
      <c r="C1" s="76" t="s">
        <v>4</v>
      </c>
      <c r="D1" s="77"/>
      <c r="E1" s="78"/>
      <c r="G1" s="66"/>
      <c r="H1" s="18" t="s">
        <v>20</v>
      </c>
      <c r="I1" s="18"/>
      <c r="J1" s="18"/>
      <c r="K1" s="18"/>
      <c r="L1" s="19"/>
    </row>
    <row r="2" spans="1:12" x14ac:dyDescent="0.3">
      <c r="A2" s="9">
        <v>15335</v>
      </c>
      <c r="B2" s="1" t="s">
        <v>3</v>
      </c>
      <c r="C2" s="72">
        <v>40</v>
      </c>
      <c r="D2" s="73"/>
      <c r="E2" s="74"/>
      <c r="G2" s="69"/>
      <c r="H2" s="1"/>
      <c r="I2" s="1"/>
      <c r="J2" s="1"/>
      <c r="K2" s="1"/>
      <c r="L2" s="16"/>
    </row>
    <row r="3" spans="1:12" x14ac:dyDescent="0.3">
      <c r="A3" s="9">
        <v>57564</v>
      </c>
      <c r="B3" s="1" t="s">
        <v>5</v>
      </c>
      <c r="C3" s="72">
        <v>50</v>
      </c>
      <c r="D3" s="73"/>
      <c r="E3" s="74"/>
      <c r="G3" s="69"/>
      <c r="H3" s="2" t="s">
        <v>0</v>
      </c>
      <c r="I3" s="2" t="s">
        <v>21</v>
      </c>
      <c r="J3" s="1"/>
      <c r="K3" s="1"/>
      <c r="L3" s="16"/>
    </row>
    <row r="4" spans="1:12" x14ac:dyDescent="0.3">
      <c r="A4" s="9">
        <v>73546</v>
      </c>
      <c r="B4" s="1" t="s">
        <v>1</v>
      </c>
      <c r="C4" s="72">
        <v>61</v>
      </c>
      <c r="D4" s="73"/>
      <c r="E4" s="74"/>
      <c r="G4" s="69"/>
      <c r="H4" s="1" t="s">
        <v>22</v>
      </c>
      <c r="I4" s="11" t="str">
        <f>VLOOKUP(H4, H10:J17, 3, 0)</f>
        <v>Netflix</v>
      </c>
      <c r="J4" s="1"/>
      <c r="K4" s="1"/>
      <c r="L4" s="16"/>
    </row>
    <row r="5" spans="1:12" x14ac:dyDescent="0.3">
      <c r="A5" s="9">
        <v>66475</v>
      </c>
      <c r="B5" s="1" t="s">
        <v>23</v>
      </c>
      <c r="C5" s="72">
        <v>23</v>
      </c>
      <c r="D5" s="73"/>
      <c r="E5" s="74"/>
      <c r="G5" s="69"/>
      <c r="H5" s="1" t="s">
        <v>24</v>
      </c>
      <c r="I5" s="11"/>
      <c r="J5" s="1"/>
      <c r="K5" s="1"/>
      <c r="L5" s="16"/>
    </row>
    <row r="6" spans="1:12" x14ac:dyDescent="0.3">
      <c r="A6" s="9">
        <v>54746</v>
      </c>
      <c r="B6" s="1" t="s">
        <v>2</v>
      </c>
      <c r="C6" s="72">
        <v>30</v>
      </c>
      <c r="D6" s="73"/>
      <c r="E6" s="74"/>
      <c r="G6" s="69"/>
      <c r="H6" s="1"/>
      <c r="I6" s="1"/>
      <c r="J6" s="1"/>
      <c r="K6" s="1"/>
      <c r="L6" s="16"/>
    </row>
    <row r="7" spans="1:12" x14ac:dyDescent="0.3">
      <c r="A7" s="13"/>
      <c r="B7" s="1"/>
      <c r="C7" s="75"/>
      <c r="D7" s="73"/>
      <c r="E7" s="74"/>
      <c r="G7" s="69"/>
      <c r="H7" s="1" t="s">
        <v>25</v>
      </c>
      <c r="I7" s="1"/>
      <c r="J7" s="1"/>
      <c r="K7" s="1"/>
      <c r="L7" s="16"/>
    </row>
    <row r="8" spans="1:12" x14ac:dyDescent="0.3">
      <c r="A8" s="13"/>
      <c r="B8" s="1"/>
      <c r="C8" s="75"/>
      <c r="D8" s="73"/>
      <c r="E8" s="74"/>
      <c r="G8" s="69"/>
      <c r="H8" s="1"/>
      <c r="I8" s="1"/>
      <c r="J8" s="1"/>
      <c r="K8" s="1"/>
      <c r="L8" s="16"/>
    </row>
    <row r="9" spans="1:12" x14ac:dyDescent="0.3">
      <c r="A9" s="14" t="s">
        <v>26</v>
      </c>
      <c r="B9" s="1"/>
      <c r="C9" s="75"/>
      <c r="D9" s="73"/>
      <c r="E9" s="74"/>
      <c r="G9" s="69"/>
      <c r="H9" s="17" t="s">
        <v>0</v>
      </c>
      <c r="I9" s="17" t="s">
        <v>4</v>
      </c>
      <c r="J9" s="17" t="s">
        <v>27</v>
      </c>
      <c r="K9" s="1"/>
      <c r="L9" s="16"/>
    </row>
    <row r="10" spans="1:12" x14ac:dyDescent="0.3">
      <c r="A10" s="13"/>
      <c r="B10" s="1"/>
      <c r="C10" s="75"/>
      <c r="D10" s="73"/>
      <c r="E10" s="74"/>
      <c r="G10" s="69"/>
      <c r="H10" s="20" t="s">
        <v>28</v>
      </c>
      <c r="I10" s="21">
        <v>35</v>
      </c>
      <c r="J10" s="20" t="s">
        <v>29</v>
      </c>
      <c r="K10" s="1"/>
      <c r="L10" s="16"/>
    </row>
    <row r="11" spans="1:12" x14ac:dyDescent="0.3">
      <c r="A11" s="14" t="s">
        <v>19</v>
      </c>
      <c r="B11" s="3">
        <v>15335</v>
      </c>
      <c r="C11" s="75"/>
      <c r="D11" s="73"/>
      <c r="E11" s="74"/>
      <c r="G11" s="69"/>
      <c r="H11" s="1" t="s">
        <v>30</v>
      </c>
      <c r="I11" s="3">
        <v>25</v>
      </c>
      <c r="J11" s="1" t="s">
        <v>31</v>
      </c>
      <c r="K11" s="1"/>
      <c r="L11" s="16"/>
    </row>
    <row r="12" spans="1:12" x14ac:dyDescent="0.3">
      <c r="A12" s="14" t="s">
        <v>4</v>
      </c>
      <c r="B12" s="11">
        <f>VLOOKUP(B11, A2:E6, 3, FALSE)</f>
        <v>40</v>
      </c>
      <c r="C12" s="1"/>
      <c r="D12" s="79" t="s">
        <v>32</v>
      </c>
      <c r="E12" s="74"/>
      <c r="G12" s="69"/>
      <c r="H12" s="22" t="s">
        <v>3</v>
      </c>
      <c r="I12" s="23">
        <v>48</v>
      </c>
      <c r="J12" s="22" t="s">
        <v>33</v>
      </c>
      <c r="K12" s="1"/>
      <c r="L12" s="16"/>
    </row>
    <row r="13" spans="1:12" x14ac:dyDescent="0.3">
      <c r="A13" s="69"/>
      <c r="E13" s="68"/>
      <c r="G13" s="69"/>
      <c r="H13" s="1" t="s">
        <v>34</v>
      </c>
      <c r="I13" s="3">
        <v>37</v>
      </c>
      <c r="J13" s="1" t="s">
        <v>35</v>
      </c>
      <c r="K13" s="1"/>
      <c r="L13" s="16"/>
    </row>
    <row r="14" spans="1:12" x14ac:dyDescent="0.3">
      <c r="A14" s="70"/>
      <c r="B14" s="71"/>
      <c r="C14" s="71"/>
      <c r="D14" s="71"/>
      <c r="E14" s="67"/>
      <c r="G14" s="69"/>
      <c r="H14" s="22" t="s">
        <v>22</v>
      </c>
      <c r="I14" s="23">
        <v>52</v>
      </c>
      <c r="J14" s="22" t="s">
        <v>36</v>
      </c>
      <c r="K14" s="1"/>
      <c r="L14" s="16"/>
    </row>
    <row r="15" spans="1:12" x14ac:dyDescent="0.3">
      <c r="G15" s="69"/>
      <c r="H15" s="1" t="s">
        <v>24</v>
      </c>
      <c r="I15" s="3">
        <v>32</v>
      </c>
      <c r="J15" s="1" t="s">
        <v>37</v>
      </c>
      <c r="K15" s="1"/>
      <c r="L15" s="16"/>
    </row>
    <row r="16" spans="1:12" x14ac:dyDescent="0.3">
      <c r="G16" s="69"/>
      <c r="H16" s="22" t="s">
        <v>38</v>
      </c>
      <c r="I16" s="23">
        <v>33</v>
      </c>
      <c r="J16" s="22" t="s">
        <v>39</v>
      </c>
      <c r="K16" s="1"/>
      <c r="L16" s="16"/>
    </row>
    <row r="17" spans="7:12" x14ac:dyDescent="0.3">
      <c r="G17" s="69"/>
      <c r="H17" s="15" t="s">
        <v>40</v>
      </c>
      <c r="I17" s="10">
        <v>45</v>
      </c>
      <c r="J17" s="15" t="s">
        <v>41</v>
      </c>
      <c r="K17" s="1"/>
      <c r="L17" s="16"/>
    </row>
    <row r="18" spans="7:12" x14ac:dyDescent="0.3">
      <c r="G18" s="70"/>
      <c r="H18" s="71"/>
      <c r="I18" s="71"/>
      <c r="J18" s="71"/>
      <c r="K18" s="71"/>
      <c r="L18" s="67"/>
    </row>
  </sheetData>
  <mergeCells count="12">
    <mergeCell ref="C8:E8"/>
    <mergeCell ref="C9:E9"/>
    <mergeCell ref="C10:E10"/>
    <mergeCell ref="C11:E11"/>
    <mergeCell ref="D12:E12"/>
    <mergeCell ref="C6:E6"/>
    <mergeCell ref="C7:E7"/>
    <mergeCell ref="C1:E1"/>
    <mergeCell ref="C2:E2"/>
    <mergeCell ref="C3:E3"/>
    <mergeCell ref="C4:E4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>
    <outlinePr summaryBelow="0" summaryRight="0"/>
  </sheetPr>
  <dimension ref="B2:W55"/>
  <sheetViews>
    <sheetView topLeftCell="A7" workbookViewId="0">
      <selection activeCell="H11" sqref="H11"/>
    </sheetView>
  </sheetViews>
  <sheetFormatPr defaultColWidth="14.44140625" defaultRowHeight="15" customHeight="1" x14ac:dyDescent="0.3"/>
  <cols>
    <col min="5" max="5" width="31" customWidth="1"/>
  </cols>
  <sheetData>
    <row r="2" spans="2:23" x14ac:dyDescent="0.3">
      <c r="B2" s="86" t="s">
        <v>42</v>
      </c>
      <c r="C2" s="77"/>
      <c r="D2" s="77"/>
      <c r="E2" s="77"/>
      <c r="F2" s="77"/>
      <c r="G2" s="77"/>
      <c r="H2" s="78"/>
      <c r="L2" s="86" t="s">
        <v>43</v>
      </c>
      <c r="M2" s="77"/>
      <c r="N2" s="77"/>
      <c r="O2" s="77"/>
      <c r="P2" s="77"/>
      <c r="Q2" s="77"/>
      <c r="R2" s="77"/>
      <c r="S2" s="78"/>
    </row>
    <row r="3" spans="2:23" x14ac:dyDescent="0.3">
      <c r="B3" s="82"/>
      <c r="C3" s="83"/>
      <c r="D3" s="83"/>
      <c r="E3" s="83"/>
      <c r="F3" s="83"/>
      <c r="G3" s="83"/>
      <c r="H3" s="84"/>
      <c r="L3" s="85"/>
      <c r="M3" s="73"/>
      <c r="N3" s="73"/>
      <c r="O3" s="73"/>
      <c r="P3" s="73"/>
      <c r="Q3" s="73"/>
      <c r="R3" s="73"/>
      <c r="S3" s="74"/>
    </row>
    <row r="4" spans="2:23" x14ac:dyDescent="0.3">
      <c r="L4" s="82"/>
      <c r="M4" s="83"/>
      <c r="N4" s="83"/>
      <c r="O4" s="83"/>
      <c r="P4" s="83"/>
      <c r="Q4" s="83"/>
      <c r="R4" s="83"/>
      <c r="S4" s="84"/>
    </row>
    <row r="5" spans="2:23" x14ac:dyDescent="0.3">
      <c r="D5" s="24" t="s">
        <v>44</v>
      </c>
      <c r="E5" s="25"/>
      <c r="F5" s="80"/>
      <c r="G5" s="73"/>
    </row>
    <row r="6" spans="2:23" x14ac:dyDescent="0.3">
      <c r="D6" s="26" t="s">
        <v>4</v>
      </c>
      <c r="E6" s="26" t="s">
        <v>0</v>
      </c>
      <c r="F6" s="80"/>
      <c r="G6" s="73"/>
      <c r="M6" s="2" t="s">
        <v>45</v>
      </c>
      <c r="N6" s="1"/>
      <c r="O6" s="1"/>
      <c r="P6" s="1"/>
      <c r="Q6" s="1"/>
    </row>
    <row r="7" spans="2:23" x14ac:dyDescent="0.3">
      <c r="D7" s="27">
        <v>12</v>
      </c>
      <c r="E7" s="28" t="s">
        <v>6</v>
      </c>
      <c r="F7" s="80"/>
      <c r="G7" s="73"/>
      <c r="M7" s="1"/>
      <c r="N7" s="1"/>
      <c r="O7" s="1"/>
      <c r="P7" s="1"/>
      <c r="Q7" s="1"/>
    </row>
    <row r="8" spans="2:23" x14ac:dyDescent="0.3">
      <c r="D8" s="27">
        <v>13</v>
      </c>
      <c r="E8" s="28" t="s">
        <v>46</v>
      </c>
      <c r="F8" s="80"/>
      <c r="G8" s="73"/>
      <c r="M8" s="29" t="s">
        <v>47</v>
      </c>
      <c r="N8" s="29" t="s">
        <v>16</v>
      </c>
      <c r="O8" s="29" t="s">
        <v>48</v>
      </c>
      <c r="P8" s="29" t="s">
        <v>49</v>
      </c>
      <c r="Q8" s="29" t="s">
        <v>50</v>
      </c>
      <c r="S8" t="str" cm="1">
        <f t="array" ref="S8:W8">_xlfn.XLOOKUP(N15,O9:O13,M9:Q13)</f>
        <v>Toyota</v>
      </c>
      <c r="T8" t="str">
        <v>Corola</v>
      </c>
      <c r="U8">
        <v>3343453</v>
      </c>
      <c r="V8" t="str">
        <v>Red</v>
      </c>
      <c r="W8">
        <v>2013</v>
      </c>
    </row>
    <row r="9" spans="2:23" x14ac:dyDescent="0.3">
      <c r="D9" s="27">
        <v>14</v>
      </c>
      <c r="E9" s="28" t="s">
        <v>13</v>
      </c>
      <c r="F9" s="80"/>
      <c r="G9" s="73"/>
      <c r="M9" s="5" t="s">
        <v>51</v>
      </c>
      <c r="N9" s="5" t="s">
        <v>52</v>
      </c>
      <c r="O9" s="6">
        <v>3343453</v>
      </c>
      <c r="P9" s="5" t="s">
        <v>53</v>
      </c>
      <c r="Q9" s="6">
        <v>2013</v>
      </c>
    </row>
    <row r="10" spans="2:23" x14ac:dyDescent="0.3">
      <c r="D10" s="27">
        <v>12</v>
      </c>
      <c r="E10" s="28" t="s">
        <v>54</v>
      </c>
      <c r="F10" s="80"/>
      <c r="G10" s="73"/>
      <c r="M10" s="5" t="s">
        <v>55</v>
      </c>
      <c r="N10" s="5" t="s">
        <v>56</v>
      </c>
      <c r="O10" s="6">
        <v>5535334</v>
      </c>
      <c r="P10" s="5" t="s">
        <v>11</v>
      </c>
      <c r="Q10" s="6">
        <v>2015</v>
      </c>
    </row>
    <row r="11" spans="2:23" x14ac:dyDescent="0.3">
      <c r="D11" s="27">
        <v>16</v>
      </c>
      <c r="E11" s="28" t="s">
        <v>8</v>
      </c>
      <c r="F11" s="80"/>
      <c r="G11" s="73"/>
      <c r="M11" s="5" t="s">
        <v>57</v>
      </c>
      <c r="N11" s="5" t="s">
        <v>58</v>
      </c>
      <c r="O11" s="6">
        <v>6474574</v>
      </c>
      <c r="P11" s="5" t="s">
        <v>53</v>
      </c>
      <c r="Q11" s="6">
        <v>2012</v>
      </c>
    </row>
    <row r="12" spans="2:23" x14ac:dyDescent="0.3">
      <c r="D12" s="27">
        <v>15</v>
      </c>
      <c r="E12" s="28" t="s">
        <v>59</v>
      </c>
      <c r="F12" s="80"/>
      <c r="G12" s="73"/>
      <c r="M12" s="5" t="s">
        <v>60</v>
      </c>
      <c r="N12" s="5" t="s">
        <v>61</v>
      </c>
      <c r="O12" s="6">
        <v>5544667</v>
      </c>
      <c r="P12" s="5" t="s">
        <v>12</v>
      </c>
      <c r="Q12" s="6">
        <v>2014</v>
      </c>
    </row>
    <row r="13" spans="2:23" x14ac:dyDescent="0.3">
      <c r="D13" s="25"/>
      <c r="E13" s="25"/>
      <c r="F13" s="80"/>
      <c r="G13" s="73"/>
      <c r="M13" s="5" t="s">
        <v>62</v>
      </c>
      <c r="N13" s="5" t="s">
        <v>63</v>
      </c>
      <c r="O13" s="6">
        <v>4356434</v>
      </c>
      <c r="P13" s="5" t="s">
        <v>64</v>
      </c>
      <c r="Q13" s="6">
        <v>2015</v>
      </c>
    </row>
    <row r="14" spans="2:23" x14ac:dyDescent="0.3">
      <c r="D14" s="25" t="s">
        <v>65</v>
      </c>
      <c r="E14" s="24" t="s">
        <v>8</v>
      </c>
      <c r="F14" s="25"/>
      <c r="G14" s="30"/>
      <c r="M14" s="1"/>
      <c r="N14" s="1"/>
      <c r="O14" s="1"/>
      <c r="P14" s="1"/>
      <c r="Q14" s="1"/>
    </row>
    <row r="15" spans="2:23" x14ac:dyDescent="0.3">
      <c r="D15" s="25" t="s">
        <v>4</v>
      </c>
      <c r="E15" s="31">
        <f>_xlfn.XLOOKUP(E14, E7:E12, D7:D12)</f>
        <v>16</v>
      </c>
      <c r="F15" s="25"/>
      <c r="G15" s="24" t="s">
        <v>66</v>
      </c>
      <c r="M15" s="1" t="s">
        <v>67</v>
      </c>
      <c r="N15" s="32">
        <v>3343453</v>
      </c>
      <c r="O15" s="1"/>
      <c r="P15" s="1"/>
      <c r="Q15" s="1"/>
    </row>
    <row r="16" spans="2:23" x14ac:dyDescent="0.3">
      <c r="D16" s="25"/>
      <c r="E16" s="25"/>
      <c r="F16" s="80"/>
      <c r="G16" s="73"/>
      <c r="M16" s="29" t="s">
        <v>47</v>
      </c>
      <c r="N16" s="29" t="s">
        <v>16</v>
      </c>
      <c r="O16" s="29" t="s">
        <v>48</v>
      </c>
      <c r="P16" s="29" t="s">
        <v>49</v>
      </c>
      <c r="Q16" s="29" t="s">
        <v>50</v>
      </c>
    </row>
    <row r="17" spans="2:19" x14ac:dyDescent="0.3">
      <c r="D17" s="25"/>
      <c r="E17" s="25"/>
      <c r="F17" s="80"/>
      <c r="G17" s="73"/>
      <c r="M17" s="7" t="e">
        <f t="array" aca="1" ref="M17:Q17" ca="1">_xludf.XLOOKUP(N15, O9:O13, M9:Q13)</f>
        <v>#NAME?</v>
      </c>
      <c r="N17" s="5" t="e">
        <f ca="1"/>
        <v>#NAME?</v>
      </c>
      <c r="O17" s="5" t="e">
        <f ca="1"/>
        <v>#NAME?</v>
      </c>
      <c r="P17" s="5" t="e">
        <f ca="1"/>
        <v>#NAME?</v>
      </c>
      <c r="Q17" s="5" t="e">
        <f ca="1"/>
        <v>#NAME?</v>
      </c>
    </row>
    <row r="18" spans="2:19" x14ac:dyDescent="0.3">
      <c r="M18" s="2" t="s">
        <v>68</v>
      </c>
      <c r="N18" s="1"/>
      <c r="O18" s="1"/>
      <c r="P18" s="1"/>
      <c r="Q18" s="1"/>
    </row>
    <row r="21" spans="2:19" x14ac:dyDescent="0.3">
      <c r="B21" s="81" t="s">
        <v>69</v>
      </c>
      <c r="C21" s="77"/>
      <c r="D21" s="77"/>
      <c r="E21" s="77"/>
      <c r="F21" s="77"/>
      <c r="G21" s="77"/>
      <c r="H21" s="78"/>
      <c r="L21" s="81" t="s">
        <v>70</v>
      </c>
      <c r="M21" s="77"/>
      <c r="N21" s="77"/>
      <c r="O21" s="77"/>
      <c r="P21" s="77"/>
      <c r="Q21" s="77"/>
      <c r="R21" s="77"/>
      <c r="S21" s="78"/>
    </row>
    <row r="22" spans="2:19" x14ac:dyDescent="0.3">
      <c r="B22" s="82"/>
      <c r="C22" s="83"/>
      <c r="D22" s="83"/>
      <c r="E22" s="83"/>
      <c r="F22" s="83"/>
      <c r="G22" s="83"/>
      <c r="H22" s="84"/>
      <c r="L22" s="85"/>
      <c r="M22" s="73"/>
      <c r="N22" s="73"/>
      <c r="O22" s="73"/>
      <c r="P22" s="73"/>
      <c r="Q22" s="73"/>
      <c r="R22" s="73"/>
      <c r="S22" s="74"/>
    </row>
    <row r="23" spans="2:19" x14ac:dyDescent="0.3">
      <c r="L23" s="85"/>
      <c r="M23" s="73"/>
      <c r="N23" s="73"/>
      <c r="O23" s="73"/>
      <c r="P23" s="73"/>
      <c r="Q23" s="73"/>
      <c r="R23" s="73"/>
      <c r="S23" s="74"/>
    </row>
    <row r="24" spans="2:19" x14ac:dyDescent="0.3">
      <c r="C24" s="24" t="s">
        <v>71</v>
      </c>
      <c r="D24" s="25"/>
      <c r="E24" s="25"/>
      <c r="F24" s="25"/>
      <c r="L24" s="82"/>
      <c r="M24" s="83"/>
      <c r="N24" s="83"/>
      <c r="O24" s="83"/>
      <c r="P24" s="83"/>
      <c r="Q24" s="83"/>
      <c r="R24" s="83"/>
      <c r="S24" s="84"/>
    </row>
    <row r="25" spans="2:19" x14ac:dyDescent="0.3">
      <c r="C25" s="25" t="s">
        <v>72</v>
      </c>
      <c r="D25" s="25"/>
      <c r="E25" s="25"/>
      <c r="F25" s="25"/>
    </row>
    <row r="26" spans="2:19" x14ac:dyDescent="0.3">
      <c r="C26" s="25" t="s">
        <v>73</v>
      </c>
      <c r="D26" s="25"/>
      <c r="E26" s="25"/>
      <c r="F26" s="25"/>
      <c r="L26" s="65"/>
      <c r="M26" s="25" t="s">
        <v>74</v>
      </c>
      <c r="N26" s="25"/>
      <c r="O26" s="25"/>
      <c r="P26" s="25"/>
    </row>
    <row r="27" spans="2:19" x14ac:dyDescent="0.3">
      <c r="C27" s="25"/>
      <c r="D27" s="25"/>
      <c r="E27" s="25"/>
      <c r="F27" s="25"/>
      <c r="M27" s="25" t="s">
        <v>75</v>
      </c>
      <c r="N27" s="25"/>
      <c r="O27" s="25"/>
      <c r="P27" s="25"/>
    </row>
    <row r="28" spans="2:19" x14ac:dyDescent="0.3">
      <c r="C28" s="33" t="s">
        <v>0</v>
      </c>
      <c r="D28" s="33" t="s">
        <v>76</v>
      </c>
      <c r="E28" s="33" t="s">
        <v>77</v>
      </c>
      <c r="F28" s="25"/>
      <c r="M28" s="25"/>
      <c r="N28" s="25"/>
      <c r="O28" s="25"/>
      <c r="P28" s="25"/>
    </row>
    <row r="29" spans="2:19" x14ac:dyDescent="0.3">
      <c r="C29" s="28" t="s">
        <v>9</v>
      </c>
      <c r="D29" s="28" t="s">
        <v>14</v>
      </c>
      <c r="E29" s="28" t="s">
        <v>64</v>
      </c>
      <c r="F29" s="25"/>
      <c r="M29" s="33" t="s">
        <v>0</v>
      </c>
      <c r="N29" s="33" t="s">
        <v>78</v>
      </c>
      <c r="O29" s="25"/>
      <c r="P29" s="25"/>
    </row>
    <row r="30" spans="2:19" x14ac:dyDescent="0.3">
      <c r="C30" s="28" t="s">
        <v>13</v>
      </c>
      <c r="D30" s="28" t="s">
        <v>79</v>
      </c>
      <c r="E30" s="28" t="s">
        <v>80</v>
      </c>
      <c r="F30" s="25"/>
      <c r="M30" s="28" t="s">
        <v>9</v>
      </c>
      <c r="N30" s="28" t="s">
        <v>81</v>
      </c>
      <c r="O30" s="25"/>
      <c r="P30" s="25"/>
    </row>
    <row r="31" spans="2:19" x14ac:dyDescent="0.3">
      <c r="C31" s="28" t="s">
        <v>82</v>
      </c>
      <c r="D31" s="28" t="s">
        <v>83</v>
      </c>
      <c r="E31" s="28" t="s">
        <v>53</v>
      </c>
      <c r="F31" s="25"/>
      <c r="M31" s="28" t="s">
        <v>13</v>
      </c>
      <c r="N31" s="28" t="s">
        <v>84</v>
      </c>
      <c r="O31" s="25"/>
      <c r="P31" s="25"/>
    </row>
    <row r="32" spans="2:19" x14ac:dyDescent="0.3">
      <c r="C32" s="28" t="s">
        <v>9</v>
      </c>
      <c r="D32" s="28" t="s">
        <v>85</v>
      </c>
      <c r="E32" s="28" t="s">
        <v>12</v>
      </c>
      <c r="F32" s="25"/>
      <c r="M32" s="28" t="s">
        <v>82</v>
      </c>
      <c r="N32" s="28" t="s">
        <v>86</v>
      </c>
      <c r="O32" s="25"/>
      <c r="P32" s="25"/>
    </row>
    <row r="33" spans="3:16" x14ac:dyDescent="0.3">
      <c r="C33" s="28" t="s">
        <v>87</v>
      </c>
      <c r="D33" s="28" t="s">
        <v>88</v>
      </c>
      <c r="E33" s="28" t="s">
        <v>11</v>
      </c>
      <c r="F33" s="25"/>
      <c r="M33" s="28" t="s">
        <v>9</v>
      </c>
      <c r="N33" s="28" t="s">
        <v>89</v>
      </c>
      <c r="O33" s="25"/>
      <c r="P33" s="25"/>
    </row>
    <row r="34" spans="3:16" x14ac:dyDescent="0.3">
      <c r="C34" s="28" t="s">
        <v>90</v>
      </c>
      <c r="D34" s="28" t="s">
        <v>91</v>
      </c>
      <c r="E34" s="28" t="s">
        <v>80</v>
      </c>
      <c r="F34" s="25"/>
      <c r="M34" s="28" t="s">
        <v>87</v>
      </c>
      <c r="N34" s="28" t="s">
        <v>92</v>
      </c>
      <c r="O34" s="25"/>
      <c r="P34" s="25"/>
    </row>
    <row r="35" spans="3:16" x14ac:dyDescent="0.3">
      <c r="C35" s="28" t="s">
        <v>6</v>
      </c>
      <c r="D35" s="28" t="s">
        <v>93</v>
      </c>
      <c r="E35" s="28" t="s">
        <v>53</v>
      </c>
      <c r="F35" s="25"/>
      <c r="M35" s="25"/>
      <c r="N35" s="25"/>
      <c r="O35" s="25"/>
      <c r="P35" s="25"/>
    </row>
    <row r="36" spans="3:16" x14ac:dyDescent="0.3">
      <c r="C36" s="25"/>
      <c r="D36" s="25"/>
      <c r="E36" s="25"/>
      <c r="F36" s="25"/>
      <c r="M36" s="25" t="s">
        <v>65</v>
      </c>
      <c r="N36" s="28" t="s">
        <v>9</v>
      </c>
      <c r="O36" s="25"/>
      <c r="P36" s="25"/>
    </row>
    <row r="37" spans="3:16" x14ac:dyDescent="0.3">
      <c r="C37" s="25" t="s">
        <v>65</v>
      </c>
      <c r="D37" s="28"/>
      <c r="E37" s="25"/>
      <c r="F37" s="25"/>
      <c r="M37" s="25" t="s">
        <v>94</v>
      </c>
      <c r="N37" s="34" t="str">
        <f>_xlfn.XLOOKUP(N36, M30:M34, N30:N34, "Not Found", -1)</f>
        <v>Lobster</v>
      </c>
      <c r="O37" s="24" t="s">
        <v>66</v>
      </c>
      <c r="P37" s="25"/>
    </row>
    <row r="38" spans="3:16" x14ac:dyDescent="0.3">
      <c r="C38" s="25" t="s">
        <v>95</v>
      </c>
      <c r="D38" s="31" t="str">
        <f>_xlfn.XLOOKUP(D37,C29:C35,E29:E35,"Not Found")</f>
        <v>Not Found</v>
      </c>
      <c r="E38" s="24" t="s">
        <v>66</v>
      </c>
      <c r="F38" s="25"/>
    </row>
    <row r="39" spans="3:16" x14ac:dyDescent="0.3">
      <c r="C39" s="25"/>
      <c r="D39" s="25"/>
      <c r="E39" s="25"/>
      <c r="F39" s="25"/>
    </row>
    <row r="42" spans="3:16" x14ac:dyDescent="0.3">
      <c r="C42" s="25" t="s">
        <v>96</v>
      </c>
      <c r="D42" s="25"/>
      <c r="E42" s="25"/>
    </row>
    <row r="43" spans="3:16" x14ac:dyDescent="0.3">
      <c r="C43" s="25" t="s">
        <v>97</v>
      </c>
      <c r="D43" s="25"/>
      <c r="E43" s="25"/>
    </row>
    <row r="44" spans="3:16" x14ac:dyDescent="0.3">
      <c r="C44" s="25"/>
      <c r="D44" s="25"/>
      <c r="E44" s="25"/>
    </row>
    <row r="45" spans="3:16" x14ac:dyDescent="0.3">
      <c r="C45" s="24" t="s">
        <v>98</v>
      </c>
      <c r="D45" s="25"/>
      <c r="E45" s="25"/>
    </row>
    <row r="46" spans="3:16" x14ac:dyDescent="0.3">
      <c r="C46" s="35" t="s">
        <v>12</v>
      </c>
      <c r="D46" s="36" t="s">
        <v>99</v>
      </c>
      <c r="E46" s="25"/>
    </row>
    <row r="47" spans="3:16" x14ac:dyDescent="0.3">
      <c r="C47" s="25" t="s">
        <v>100</v>
      </c>
      <c r="D47" s="25"/>
      <c r="E47" s="25"/>
    </row>
    <row r="48" spans="3:16" x14ac:dyDescent="0.3">
      <c r="C48" s="25"/>
      <c r="D48" s="25"/>
      <c r="E48" s="25"/>
    </row>
    <row r="49" spans="3:5" x14ac:dyDescent="0.3">
      <c r="C49" s="24" t="s">
        <v>101</v>
      </c>
      <c r="D49" s="37" t="s">
        <v>102</v>
      </c>
      <c r="E49" s="25"/>
    </row>
    <row r="50" spans="3:5" x14ac:dyDescent="0.3">
      <c r="C50" s="35" t="s">
        <v>12</v>
      </c>
      <c r="D50" s="38" t="e">
        <f t="array" aca="1" ref="D50" ca="1">_xludf.XLOOKUP(B14,A6:A12,C6:C12,"not found",,-1)</f>
        <v>#NAME?</v>
      </c>
      <c r="E50" s="25"/>
    </row>
    <row r="51" spans="3:5" x14ac:dyDescent="0.3">
      <c r="C51" s="25" t="s">
        <v>103</v>
      </c>
      <c r="D51" s="25"/>
      <c r="E51" s="25"/>
    </row>
    <row r="52" spans="3:5" x14ac:dyDescent="0.3">
      <c r="C52" s="25"/>
      <c r="D52" s="25"/>
      <c r="E52" s="25"/>
    </row>
    <row r="53" spans="3:5" x14ac:dyDescent="0.3">
      <c r="C53" s="24" t="s">
        <v>104</v>
      </c>
      <c r="D53" s="25"/>
      <c r="E53" s="25"/>
    </row>
    <row r="54" spans="3:5" x14ac:dyDescent="0.3">
      <c r="C54" s="35" t="s">
        <v>12</v>
      </c>
      <c r="D54" s="36" t="s">
        <v>105</v>
      </c>
      <c r="E54" s="25"/>
    </row>
    <row r="55" spans="3:5" x14ac:dyDescent="0.3">
      <c r="C55" s="25" t="s">
        <v>106</v>
      </c>
      <c r="D55" s="25"/>
      <c r="E55" s="25"/>
    </row>
  </sheetData>
  <mergeCells count="15">
    <mergeCell ref="F17:G17"/>
    <mergeCell ref="B21:H22"/>
    <mergeCell ref="L21:S24"/>
    <mergeCell ref="B2:H3"/>
    <mergeCell ref="L2:S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6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">
    <outlinePr summaryBelow="0" summaryRight="0"/>
  </sheetPr>
  <dimension ref="A1:L25"/>
  <sheetViews>
    <sheetView zoomScale="115" zoomScaleNormal="115" workbookViewId="0">
      <selection activeCell="A8" sqref="A8"/>
    </sheetView>
  </sheetViews>
  <sheetFormatPr defaultColWidth="14.44140625" defaultRowHeight="15" customHeight="1" x14ac:dyDescent="0.3"/>
  <cols>
    <col min="8" max="8" width="34.44140625" bestFit="1" customWidth="1"/>
  </cols>
  <sheetData>
    <row r="1" spans="1:12" x14ac:dyDescent="0.3">
      <c r="A1" s="2" t="s">
        <v>107</v>
      </c>
      <c r="B1" s="1"/>
      <c r="C1" s="1"/>
      <c r="D1" s="1"/>
      <c r="E1" s="1"/>
    </row>
    <row r="2" spans="1:12" x14ac:dyDescent="0.3">
      <c r="A2" s="5" t="s">
        <v>108</v>
      </c>
      <c r="B2" s="1"/>
      <c r="C2" s="1"/>
      <c r="D2" s="1"/>
      <c r="E2" s="1"/>
    </row>
    <row r="3" spans="1:12" x14ac:dyDescent="0.3">
      <c r="A3" s="5" t="s">
        <v>109</v>
      </c>
      <c r="B3" s="1"/>
      <c r="C3" s="1"/>
      <c r="D3" s="1"/>
      <c r="E3" s="1"/>
    </row>
    <row r="4" spans="1:12" x14ac:dyDescent="0.3">
      <c r="A4" s="5" t="s">
        <v>110</v>
      </c>
      <c r="B4" s="1"/>
      <c r="C4" s="1"/>
      <c r="D4" s="1"/>
      <c r="E4" s="1"/>
      <c r="G4" s="2" t="s">
        <v>111</v>
      </c>
      <c r="H4" s="1"/>
      <c r="I4" s="1"/>
      <c r="J4" s="1"/>
      <c r="K4" s="1"/>
      <c r="L4" s="1"/>
    </row>
    <row r="5" spans="1:12" x14ac:dyDescent="0.3">
      <c r="A5" s="5" t="s">
        <v>112</v>
      </c>
      <c r="B5" s="1"/>
      <c r="C5" s="1"/>
      <c r="D5" s="1"/>
      <c r="E5" s="1"/>
      <c r="G5" s="4" t="s">
        <v>19</v>
      </c>
      <c r="H5" s="4" t="s">
        <v>0</v>
      </c>
      <c r="I5" s="1"/>
      <c r="J5" s="1"/>
      <c r="K5" s="1"/>
      <c r="L5" s="1"/>
    </row>
    <row r="6" spans="1:12" x14ac:dyDescent="0.3">
      <c r="A6" s="5" t="s">
        <v>113</v>
      </c>
      <c r="B6" s="1"/>
      <c r="C6" s="1"/>
      <c r="D6" s="1"/>
      <c r="E6" s="1"/>
      <c r="G6" s="6">
        <v>9584423</v>
      </c>
      <c r="H6" s="5" t="s">
        <v>3</v>
      </c>
      <c r="I6" s="1"/>
      <c r="J6" s="1"/>
      <c r="K6" s="1"/>
      <c r="L6" s="1"/>
    </row>
    <row r="7" spans="1:12" x14ac:dyDescent="0.3">
      <c r="A7" s="5" t="s">
        <v>41</v>
      </c>
      <c r="B7" s="1"/>
      <c r="C7" s="1"/>
      <c r="D7" s="1"/>
      <c r="E7" s="1"/>
      <c r="G7" s="6">
        <v>5034521</v>
      </c>
      <c r="H7" s="5" t="s">
        <v>114</v>
      </c>
      <c r="I7" s="1"/>
      <c r="J7" s="1"/>
      <c r="K7" s="1"/>
      <c r="L7" s="1"/>
    </row>
    <row r="8" spans="1:12" x14ac:dyDescent="0.3">
      <c r="A8" s="1"/>
      <c r="B8" s="1"/>
      <c r="C8" s="1"/>
      <c r="D8" s="1"/>
      <c r="E8" s="1"/>
      <c r="G8" s="6">
        <v>9543669</v>
      </c>
      <c r="H8" s="5" t="s">
        <v>115</v>
      </c>
      <c r="I8" s="1"/>
      <c r="J8" s="1"/>
      <c r="K8" s="1"/>
      <c r="L8" s="1"/>
    </row>
    <row r="9" spans="1:12" x14ac:dyDescent="0.3">
      <c r="A9" s="1"/>
      <c r="B9" s="1"/>
      <c r="C9" s="1"/>
      <c r="D9" s="1"/>
      <c r="E9" s="1"/>
      <c r="G9" s="6">
        <v>9995553</v>
      </c>
      <c r="H9" s="5" t="s">
        <v>116</v>
      </c>
      <c r="I9" s="1"/>
      <c r="J9" s="1"/>
      <c r="K9" s="1"/>
      <c r="L9" s="1"/>
    </row>
    <row r="10" spans="1:12" x14ac:dyDescent="0.3">
      <c r="A10" s="1" t="s">
        <v>10</v>
      </c>
      <c r="B10" s="11" t="str">
        <f>INDEX(A2:A7,4,1)</f>
        <v>Dell</v>
      </c>
      <c r="C10" s="2" t="s">
        <v>66</v>
      </c>
      <c r="D10" s="1"/>
      <c r="E10" s="1"/>
      <c r="G10" s="6">
        <v>8595323</v>
      </c>
      <c r="H10" s="5" t="s">
        <v>2</v>
      </c>
      <c r="I10" s="1"/>
      <c r="J10" s="1"/>
      <c r="K10" s="1"/>
      <c r="L10" s="1"/>
    </row>
    <row r="11" spans="1:12" x14ac:dyDescent="0.3">
      <c r="G11" s="6">
        <v>9359305</v>
      </c>
      <c r="H11" s="5" t="s">
        <v>117</v>
      </c>
      <c r="I11" s="1"/>
      <c r="J11" s="1"/>
      <c r="K11" s="1"/>
      <c r="L11" s="1"/>
    </row>
    <row r="12" spans="1:12" x14ac:dyDescent="0.3">
      <c r="G12" s="1"/>
      <c r="H12" s="1"/>
      <c r="I12" s="1"/>
      <c r="J12" s="1"/>
      <c r="K12" s="1"/>
      <c r="L12" s="1"/>
    </row>
    <row r="13" spans="1:12" x14ac:dyDescent="0.3">
      <c r="G13" s="1" t="s">
        <v>65</v>
      </c>
      <c r="H13" s="2" t="s">
        <v>116</v>
      </c>
      <c r="I13" s="1"/>
      <c r="J13" s="1"/>
      <c r="K13" s="1"/>
      <c r="L13" s="1"/>
    </row>
    <row r="14" spans="1:12" x14ac:dyDescent="0.3">
      <c r="A14" s="2" t="s">
        <v>118</v>
      </c>
      <c r="B14" s="2"/>
      <c r="C14" s="2"/>
      <c r="D14" s="2"/>
      <c r="E14" s="2"/>
      <c r="F14" s="1"/>
      <c r="G14" s="1" t="s">
        <v>10</v>
      </c>
      <c r="H14" s="11">
        <f>INDEX(G6:G11, MATCH(H13,H6:H11,0))</f>
        <v>9995553</v>
      </c>
      <c r="I14" s="2" t="s">
        <v>66</v>
      </c>
      <c r="J14" s="1"/>
      <c r="K14" s="1"/>
      <c r="L14" s="1"/>
    </row>
    <row r="15" spans="1:12" x14ac:dyDescent="0.3">
      <c r="A15" s="1"/>
      <c r="B15" s="2" t="s">
        <v>119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5" t="s">
        <v>120</v>
      </c>
      <c r="C16" s="1"/>
      <c r="D16" s="1"/>
      <c r="E16" s="1"/>
      <c r="F16" s="1"/>
    </row>
    <row r="17" spans="1:6" x14ac:dyDescent="0.3">
      <c r="A17" s="1"/>
      <c r="B17" s="5" t="s">
        <v>121</v>
      </c>
      <c r="C17" s="1"/>
      <c r="D17" s="1"/>
      <c r="E17" s="1"/>
      <c r="F17" s="1"/>
    </row>
    <row r="18" spans="1:6" x14ac:dyDescent="0.3">
      <c r="A18" s="1"/>
      <c r="B18" s="5" t="s">
        <v>122</v>
      </c>
      <c r="C18" s="1"/>
      <c r="D18" s="1"/>
      <c r="E18" s="1"/>
      <c r="F18" s="1"/>
    </row>
    <row r="19" spans="1:6" x14ac:dyDescent="0.3">
      <c r="A19" s="1"/>
      <c r="B19" s="5" t="s">
        <v>123</v>
      </c>
      <c r="C19" s="1"/>
      <c r="D19" s="1"/>
      <c r="E19" s="1"/>
      <c r="F19" s="1"/>
    </row>
    <row r="20" spans="1:6" x14ac:dyDescent="0.3">
      <c r="A20" s="1"/>
      <c r="B20" s="5" t="s">
        <v>124</v>
      </c>
      <c r="C20" s="1"/>
      <c r="D20" s="1"/>
      <c r="E20" s="1"/>
      <c r="F20" s="1"/>
    </row>
    <row r="21" spans="1:6" x14ac:dyDescent="0.3">
      <c r="A21" s="1"/>
      <c r="B21" s="5" t="s">
        <v>125</v>
      </c>
      <c r="C21" s="1"/>
      <c r="D21" s="1"/>
      <c r="E21" s="1"/>
      <c r="F21" s="1"/>
    </row>
    <row r="22" spans="1:6" x14ac:dyDescent="0.3">
      <c r="A22" s="1"/>
      <c r="B22" s="5" t="s">
        <v>126</v>
      </c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 t="s">
        <v>10</v>
      </c>
      <c r="B24" s="11">
        <f>MATCH(B21,B16:B22,0)</f>
        <v>6</v>
      </c>
      <c r="C24" s="2" t="s">
        <v>18</v>
      </c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3D81-9B30-405B-A638-B45566E890B1}">
  <sheetPr codeName="Sheet4"/>
  <dimension ref="A1:K28"/>
  <sheetViews>
    <sheetView workbookViewId="0">
      <selection activeCell="M19" sqref="M19"/>
    </sheetView>
  </sheetViews>
  <sheetFormatPr defaultColWidth="9.109375" defaultRowHeight="14.4" x14ac:dyDescent="0.3"/>
  <cols>
    <col min="3" max="3" width="20.6640625" bestFit="1" customWidth="1"/>
    <col min="10" max="10" width="8.44140625" customWidth="1"/>
  </cols>
  <sheetData>
    <row r="1" spans="1:10" x14ac:dyDescent="0.3">
      <c r="A1" s="87" t="s">
        <v>127</v>
      </c>
      <c r="B1" s="87"/>
      <c r="C1" s="87"/>
      <c r="D1" s="87"/>
    </row>
    <row r="2" spans="1:10" x14ac:dyDescent="0.3">
      <c r="A2" s="51"/>
      <c r="B2" s="52" t="s">
        <v>128</v>
      </c>
      <c r="C2" s="51"/>
      <c r="D2" s="51"/>
    </row>
    <row r="3" spans="1:10" x14ac:dyDescent="0.3">
      <c r="A3" s="51"/>
      <c r="B3" s="53">
        <v>999</v>
      </c>
      <c r="C3" s="51"/>
      <c r="D3" s="51"/>
      <c r="G3" s="87" t="s">
        <v>129</v>
      </c>
      <c r="H3" s="87"/>
      <c r="I3" s="87"/>
      <c r="J3" s="87"/>
    </row>
    <row r="4" spans="1:10" x14ac:dyDescent="0.3">
      <c r="A4" s="51"/>
      <c r="B4" s="54">
        <v>1111</v>
      </c>
      <c r="C4" s="51"/>
      <c r="D4" s="51"/>
      <c r="G4" s="51"/>
      <c r="H4" s="51"/>
      <c r="I4" s="51"/>
      <c r="J4" s="51"/>
    </row>
    <row r="5" spans="1:10" x14ac:dyDescent="0.3">
      <c r="A5" s="51"/>
      <c r="B5" s="55">
        <v>2</v>
      </c>
      <c r="C5" s="51"/>
      <c r="D5" s="51"/>
      <c r="G5" s="51"/>
      <c r="H5" s="60">
        <v>22</v>
      </c>
      <c r="I5" s="60">
        <v>33</v>
      </c>
      <c r="J5" s="51"/>
    </row>
    <row r="6" spans="1:10" x14ac:dyDescent="0.3">
      <c r="A6" s="51"/>
      <c r="B6" s="55">
        <v>2</v>
      </c>
      <c r="C6" s="51"/>
      <c r="D6" s="51"/>
      <c r="G6" s="51"/>
      <c r="H6" s="60">
        <v>44</v>
      </c>
      <c r="I6" s="60">
        <v>55</v>
      </c>
      <c r="J6" s="51"/>
    </row>
    <row r="7" spans="1:10" x14ac:dyDescent="0.3">
      <c r="A7" s="51"/>
      <c r="B7" s="53">
        <v>999</v>
      </c>
      <c r="C7" s="51"/>
      <c r="D7" s="51"/>
      <c r="G7" s="51"/>
      <c r="H7" s="60">
        <v>66</v>
      </c>
      <c r="I7" s="60">
        <v>77</v>
      </c>
      <c r="J7" s="51"/>
    </row>
    <row r="8" spans="1:10" x14ac:dyDescent="0.3">
      <c r="A8" s="51"/>
      <c r="B8" s="54">
        <v>1111</v>
      </c>
      <c r="C8" s="51"/>
      <c r="D8" s="51"/>
      <c r="G8" s="51"/>
      <c r="H8" s="60">
        <v>88</v>
      </c>
      <c r="I8" s="60">
        <v>99</v>
      </c>
      <c r="J8" s="51"/>
    </row>
    <row r="9" spans="1:10" x14ac:dyDescent="0.3">
      <c r="A9" s="51"/>
      <c r="B9" s="53">
        <v>999</v>
      </c>
      <c r="C9" s="51"/>
      <c r="D9" s="51"/>
      <c r="G9" s="51"/>
      <c r="H9" s="51"/>
      <c r="I9" s="51"/>
      <c r="J9" s="51"/>
    </row>
    <row r="10" spans="1:10" x14ac:dyDescent="0.3">
      <c r="A10" s="51"/>
      <c r="B10" s="56">
        <v>4</v>
      </c>
      <c r="C10" s="51"/>
      <c r="D10" s="51"/>
      <c r="G10" s="51"/>
      <c r="H10" s="51"/>
      <c r="I10" s="51"/>
      <c r="J10" s="51"/>
    </row>
    <row r="11" spans="1:10" x14ac:dyDescent="0.3">
      <c r="A11" s="51"/>
      <c r="B11" s="56">
        <v>4</v>
      </c>
      <c r="C11" s="51"/>
      <c r="D11" s="51"/>
      <c r="G11" s="88" t="s">
        <v>130</v>
      </c>
      <c r="H11" s="61" cm="1">
        <f t="array" ref="H11:I18">_xlfn.SEQUENCE(8,2,22,11)</f>
        <v>22</v>
      </c>
      <c r="I11" s="62">
        <v>33</v>
      </c>
      <c r="J11" s="63" t="s">
        <v>131</v>
      </c>
    </row>
    <row r="12" spans="1:10" x14ac:dyDescent="0.3">
      <c r="A12" s="51"/>
      <c r="B12" s="51"/>
      <c r="C12" s="51"/>
      <c r="D12" s="51"/>
      <c r="G12" s="88"/>
      <c r="H12" s="62">
        <v>44</v>
      </c>
      <c r="I12" s="62">
        <v>55</v>
      </c>
      <c r="J12" s="51"/>
    </row>
    <row r="13" spans="1:10" x14ac:dyDescent="0.3">
      <c r="A13" s="57"/>
      <c r="B13" s="58" cm="1">
        <f t="array" ref="B13:B16">_xlfn.UNIQUE(B3:B11,FALSE,FALSE)</f>
        <v>999</v>
      </c>
      <c r="C13" s="59" t="s">
        <v>15</v>
      </c>
      <c r="D13" s="51"/>
      <c r="H13">
        <v>66</v>
      </c>
      <c r="I13">
        <v>77</v>
      </c>
    </row>
    <row r="14" spans="1:10" x14ac:dyDescent="0.3">
      <c r="A14" s="57"/>
      <c r="B14" s="51">
        <v>1111</v>
      </c>
      <c r="C14" s="51"/>
      <c r="D14" s="51"/>
      <c r="H14">
        <v>88</v>
      </c>
      <c r="I14">
        <v>99</v>
      </c>
    </row>
    <row r="15" spans="1:10" x14ac:dyDescent="0.3">
      <c r="B15">
        <v>2</v>
      </c>
      <c r="H15">
        <v>110</v>
      </c>
      <c r="I15">
        <v>121</v>
      </c>
    </row>
    <row r="16" spans="1:10" x14ac:dyDescent="0.3">
      <c r="B16">
        <v>4</v>
      </c>
      <c r="H16">
        <v>132</v>
      </c>
      <c r="I16">
        <v>143</v>
      </c>
    </row>
    <row r="17" spans="8:11" x14ac:dyDescent="0.3">
      <c r="H17">
        <v>154</v>
      </c>
      <c r="I17">
        <v>165</v>
      </c>
    </row>
    <row r="18" spans="8:11" x14ac:dyDescent="0.3">
      <c r="H18">
        <v>176</v>
      </c>
      <c r="I18">
        <v>187</v>
      </c>
    </row>
    <row r="21" spans="8:11" x14ac:dyDescent="0.3">
      <c r="I21" cm="1">
        <f t="array" ref="I21:K28">_xlfn.SEQUENCE(8,3,22,11)</f>
        <v>22</v>
      </c>
      <c r="J21">
        <v>33</v>
      </c>
      <c r="K21">
        <v>44</v>
      </c>
    </row>
    <row r="22" spans="8:11" x14ac:dyDescent="0.3">
      <c r="I22">
        <v>55</v>
      </c>
      <c r="J22">
        <v>66</v>
      </c>
      <c r="K22">
        <v>77</v>
      </c>
    </row>
    <row r="23" spans="8:11" x14ac:dyDescent="0.3">
      <c r="I23">
        <v>88</v>
      </c>
      <c r="J23">
        <v>99</v>
      </c>
      <c r="K23">
        <v>110</v>
      </c>
    </row>
    <row r="24" spans="8:11" x14ac:dyDescent="0.3">
      <c r="I24">
        <v>121</v>
      </c>
      <c r="J24">
        <v>132</v>
      </c>
      <c r="K24">
        <v>143</v>
      </c>
    </row>
    <row r="25" spans="8:11" x14ac:dyDescent="0.3">
      <c r="I25">
        <v>154</v>
      </c>
      <c r="J25">
        <v>165</v>
      </c>
      <c r="K25">
        <v>176</v>
      </c>
    </row>
    <row r="26" spans="8:11" x14ac:dyDescent="0.3">
      <c r="I26">
        <v>187</v>
      </c>
      <c r="J26">
        <v>198</v>
      </c>
      <c r="K26">
        <v>209</v>
      </c>
    </row>
    <row r="27" spans="8:11" x14ac:dyDescent="0.3">
      <c r="I27">
        <v>220</v>
      </c>
      <c r="J27">
        <v>231</v>
      </c>
      <c r="K27">
        <v>242</v>
      </c>
    </row>
    <row r="28" spans="8:11" x14ac:dyDescent="0.3">
      <c r="I28">
        <v>253</v>
      </c>
      <c r="J28">
        <v>264</v>
      </c>
      <c r="K28">
        <v>275</v>
      </c>
    </row>
  </sheetData>
  <mergeCells count="3">
    <mergeCell ref="A1:D1"/>
    <mergeCell ref="G3:J3"/>
    <mergeCell ref="G11:G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">
    <outlinePr summaryBelow="0" summaryRight="0"/>
  </sheetPr>
  <dimension ref="A1:K63"/>
  <sheetViews>
    <sheetView workbookViewId="0">
      <selection activeCell="B11" sqref="B11"/>
    </sheetView>
  </sheetViews>
  <sheetFormatPr defaultColWidth="14.44140625" defaultRowHeight="15" customHeight="1" x14ac:dyDescent="0.3"/>
  <cols>
    <col min="1" max="1" width="59" customWidth="1"/>
    <col min="4" max="4" width="21.6640625" customWidth="1"/>
    <col min="7" max="7" width="27.88671875" customWidth="1"/>
    <col min="10" max="10" width="18.109375" customWidth="1"/>
  </cols>
  <sheetData>
    <row r="1" spans="1:5" ht="14.4" x14ac:dyDescent="0.3">
      <c r="A1" s="93" t="s">
        <v>132</v>
      </c>
      <c r="B1" s="73"/>
      <c r="C1" s="73"/>
      <c r="D1" s="73"/>
      <c r="E1" s="1"/>
    </row>
    <row r="2" spans="1:5" ht="14.4" x14ac:dyDescent="0.3">
      <c r="A2" s="1"/>
      <c r="B2" s="39" t="s">
        <v>0</v>
      </c>
      <c r="C2" s="39" t="s">
        <v>133</v>
      </c>
      <c r="D2" s="1"/>
      <c r="E2" s="1"/>
    </row>
    <row r="3" spans="1:5" ht="14.4" x14ac:dyDescent="0.3">
      <c r="A3" s="1"/>
      <c r="B3" s="40" t="s">
        <v>134</v>
      </c>
      <c r="C3" s="41">
        <v>3</v>
      </c>
      <c r="D3" s="1"/>
      <c r="E3" s="2"/>
    </row>
    <row r="4" spans="1:5" ht="14.4" x14ac:dyDescent="0.3">
      <c r="A4" s="1"/>
      <c r="B4" s="40" t="s">
        <v>135</v>
      </c>
      <c r="C4" s="41">
        <v>5</v>
      </c>
      <c r="D4" s="1"/>
      <c r="E4" s="2"/>
    </row>
    <row r="5" spans="1:5" ht="14.4" x14ac:dyDescent="0.3">
      <c r="A5" s="1"/>
      <c r="B5" s="40" t="s">
        <v>136</v>
      </c>
      <c r="C5" s="41">
        <v>2</v>
      </c>
      <c r="D5" s="1"/>
      <c r="E5" s="1"/>
    </row>
    <row r="6" spans="1:5" ht="14.4" x14ac:dyDescent="0.3">
      <c r="A6" s="1"/>
      <c r="B6" s="40" t="s">
        <v>116</v>
      </c>
      <c r="C6" s="41">
        <v>4</v>
      </c>
      <c r="D6" s="1"/>
      <c r="E6" s="1"/>
    </row>
    <row r="7" spans="1:5" ht="14.4" x14ac:dyDescent="0.3">
      <c r="A7" s="1"/>
      <c r="B7" s="40" t="s">
        <v>137</v>
      </c>
      <c r="C7" s="41">
        <v>1</v>
      </c>
      <c r="D7" s="1"/>
      <c r="E7" s="1"/>
    </row>
    <row r="8" spans="1:5" ht="14.4" x14ac:dyDescent="0.3">
      <c r="A8" s="1"/>
      <c r="B8" s="1"/>
      <c r="C8" s="1"/>
      <c r="D8" s="1"/>
      <c r="E8" s="1"/>
    </row>
    <row r="9" spans="1:5" ht="14.4" x14ac:dyDescent="0.3">
      <c r="A9" s="1"/>
      <c r="B9" s="1"/>
      <c r="C9" s="1"/>
      <c r="D9" s="1"/>
      <c r="E9" s="1"/>
    </row>
    <row r="10" spans="1:5" ht="14.4" x14ac:dyDescent="0.3">
      <c r="A10" s="1"/>
      <c r="B10" s="8" t="s">
        <v>0</v>
      </c>
      <c r="C10" s="8" t="s">
        <v>133</v>
      </c>
      <c r="D10" s="1"/>
      <c r="E10" s="1"/>
    </row>
    <row r="11" spans="1:5" ht="14.4" x14ac:dyDescent="0.3">
      <c r="A11" s="89" t="s">
        <v>130</v>
      </c>
      <c r="B11" s="7" t="str" cm="1">
        <f t="array" ref="B11:C15">_xlfn._xlws.SORT(B3:C7,2,1,FALSE)</f>
        <v>Nemo</v>
      </c>
      <c r="C11" s="5">
        <v>1</v>
      </c>
      <c r="D11" s="42" t="s">
        <v>131</v>
      </c>
      <c r="E11" s="1"/>
    </row>
    <row r="12" spans="1:5" ht="14.4" x14ac:dyDescent="0.3">
      <c r="A12" s="73"/>
      <c r="B12" s="5" t="str">
        <v>Anya</v>
      </c>
      <c r="C12" s="5">
        <v>2</v>
      </c>
      <c r="D12" s="1"/>
      <c r="E12" s="1"/>
    </row>
    <row r="13" spans="1:5" ht="14.4" x14ac:dyDescent="0.3">
      <c r="A13" s="73"/>
      <c r="B13" s="5" t="str">
        <v>Leroy</v>
      </c>
      <c r="C13" s="5">
        <v>3</v>
      </c>
      <c r="D13" s="1"/>
      <c r="E13" s="1"/>
    </row>
    <row r="14" spans="1:5" ht="14.4" x14ac:dyDescent="0.3">
      <c r="A14" s="73"/>
      <c r="B14" s="5" t="str">
        <v>David</v>
      </c>
      <c r="C14" s="5">
        <v>4</v>
      </c>
      <c r="D14" s="1"/>
      <c r="E14" s="1"/>
    </row>
    <row r="15" spans="1:5" ht="14.4" x14ac:dyDescent="0.3">
      <c r="A15" s="73"/>
      <c r="B15" s="5" t="str">
        <v>Adi</v>
      </c>
      <c r="C15" s="5">
        <v>5</v>
      </c>
      <c r="D15" s="1"/>
      <c r="E15" s="1"/>
    </row>
    <row r="20" spans="1:11" ht="31.5" customHeight="1" x14ac:dyDescent="0.4">
      <c r="A20" s="94" t="s">
        <v>138</v>
      </c>
      <c r="B20" s="95"/>
      <c r="C20" s="95"/>
      <c r="D20" s="95"/>
      <c r="E20" s="96"/>
      <c r="H20" s="39" t="s">
        <v>0</v>
      </c>
      <c r="I20" s="43" t="s">
        <v>139</v>
      </c>
      <c r="J20" s="39" t="s">
        <v>0</v>
      </c>
      <c r="K20" s="44" t="s">
        <v>140</v>
      </c>
    </row>
    <row r="21" spans="1:11" ht="14.4" customHeight="1" x14ac:dyDescent="0.3">
      <c r="A21" s="89" t="s">
        <v>141</v>
      </c>
      <c r="B21" s="73"/>
      <c r="C21" s="73"/>
      <c r="D21" s="73"/>
      <c r="E21" s="73"/>
      <c r="F21" s="1"/>
      <c r="G21" s="1"/>
      <c r="H21" s="40" t="s">
        <v>142</v>
      </c>
      <c r="I21" s="45">
        <v>4.0199999999999996</v>
      </c>
      <c r="J21" s="40" t="s">
        <v>142</v>
      </c>
      <c r="K21" s="46">
        <v>9.01</v>
      </c>
    </row>
    <row r="22" spans="1:11" ht="14.4" customHeight="1" x14ac:dyDescent="0.3">
      <c r="A22" s="1"/>
      <c r="B22" s="39" t="s">
        <v>0</v>
      </c>
      <c r="C22" s="39" t="s">
        <v>143</v>
      </c>
      <c r="D22" s="43" t="s">
        <v>139</v>
      </c>
      <c r="E22" s="44" t="s">
        <v>140</v>
      </c>
      <c r="F22" s="1"/>
      <c r="G22" s="1"/>
      <c r="H22" s="40" t="s">
        <v>144</v>
      </c>
      <c r="I22" s="45">
        <v>5.92</v>
      </c>
      <c r="J22" s="40" t="s">
        <v>144</v>
      </c>
      <c r="K22" s="46">
        <v>10.93</v>
      </c>
    </row>
    <row r="23" spans="1:11" ht="14.4" customHeight="1" x14ac:dyDescent="0.3">
      <c r="A23" s="1"/>
      <c r="B23" s="40" t="s">
        <v>142</v>
      </c>
      <c r="C23" s="41">
        <v>4.99</v>
      </c>
      <c r="D23" s="45">
        <v>4.0199999999999996</v>
      </c>
      <c r="E23" s="46">
        <v>9.01</v>
      </c>
      <c r="F23" s="1"/>
      <c r="G23" s="1"/>
      <c r="H23" s="40" t="s">
        <v>145</v>
      </c>
      <c r="I23" s="45">
        <v>6.2</v>
      </c>
      <c r="J23" s="40" t="s">
        <v>145</v>
      </c>
      <c r="K23" s="46">
        <v>10.19</v>
      </c>
    </row>
    <row r="24" spans="1:11" ht="14.4" customHeight="1" x14ac:dyDescent="0.3">
      <c r="A24" s="1"/>
      <c r="B24" s="40" t="s">
        <v>144</v>
      </c>
      <c r="C24" s="41">
        <v>5.01</v>
      </c>
      <c r="D24" s="45">
        <v>5.92</v>
      </c>
      <c r="E24" s="46">
        <v>10.93</v>
      </c>
      <c r="F24" s="1"/>
      <c r="G24" s="1"/>
      <c r="H24" s="40" t="s">
        <v>146</v>
      </c>
      <c r="I24" s="45">
        <v>2.11</v>
      </c>
      <c r="J24" s="40" t="s">
        <v>146</v>
      </c>
      <c r="K24" s="46">
        <v>3.34</v>
      </c>
    </row>
    <row r="25" spans="1:11" ht="14.4" x14ac:dyDescent="0.3">
      <c r="A25" s="1"/>
      <c r="B25" s="40" t="s">
        <v>145</v>
      </c>
      <c r="C25" s="41">
        <v>3.99</v>
      </c>
      <c r="D25" s="45">
        <v>6.2</v>
      </c>
      <c r="E25" s="46">
        <v>10.19</v>
      </c>
      <c r="F25" s="1"/>
      <c r="G25" s="1"/>
      <c r="H25" s="75"/>
      <c r="I25" s="73"/>
      <c r="J25" s="1"/>
    </row>
    <row r="26" spans="1:11" ht="14.4" x14ac:dyDescent="0.3">
      <c r="A26" s="1"/>
      <c r="B26" s="40" t="s">
        <v>146</v>
      </c>
      <c r="C26" s="41">
        <v>1.23</v>
      </c>
      <c r="D26" s="45">
        <v>2.11</v>
      </c>
      <c r="E26" s="46">
        <v>3.34</v>
      </c>
      <c r="F26" s="1"/>
      <c r="G26" s="1"/>
      <c r="H26" s="75"/>
      <c r="I26" s="73"/>
      <c r="J26" s="1"/>
    </row>
    <row r="27" spans="1:11" ht="14.4" x14ac:dyDescent="0.3">
      <c r="A27" s="1"/>
      <c r="B27" s="75"/>
      <c r="C27" s="73"/>
      <c r="D27" s="1"/>
      <c r="E27" s="1"/>
      <c r="F27" s="1"/>
      <c r="G27" s="1"/>
      <c r="H27" s="75"/>
      <c r="I27" s="73"/>
      <c r="J27" s="1"/>
    </row>
    <row r="28" spans="1:11" ht="14.4" x14ac:dyDescent="0.3">
      <c r="A28" s="1"/>
      <c r="B28" s="97" t="s">
        <v>147</v>
      </c>
      <c r="C28" s="77"/>
      <c r="D28" s="1"/>
      <c r="E28" s="91" t="s">
        <v>148</v>
      </c>
      <c r="F28" s="77"/>
      <c r="G28" s="1"/>
      <c r="H28" s="92" t="s">
        <v>140</v>
      </c>
      <c r="I28" s="77"/>
      <c r="J28" s="1"/>
    </row>
    <row r="29" spans="1:11" ht="14.4" x14ac:dyDescent="0.3">
      <c r="A29" s="1"/>
      <c r="B29" s="5" t="s">
        <v>133</v>
      </c>
      <c r="C29" s="64" t="s">
        <v>0</v>
      </c>
      <c r="D29" s="1"/>
      <c r="E29" s="5" t="s">
        <v>133</v>
      </c>
      <c r="F29" s="64" t="s">
        <v>0</v>
      </c>
      <c r="G29" s="1"/>
      <c r="H29" s="5" t="s">
        <v>133</v>
      </c>
      <c r="I29" s="64" t="s">
        <v>0</v>
      </c>
      <c r="J29" s="1"/>
    </row>
    <row r="30" spans="1:11" ht="14.4" x14ac:dyDescent="0.3">
      <c r="A30" s="89" t="s">
        <v>149</v>
      </c>
      <c r="B30" s="6" t="str" cm="1">
        <f t="array" ref="B30:C33">_xlfn.SORTBY(B23:C26,C23:C26,-1)</f>
        <v>Jonny</v>
      </c>
      <c r="C30" s="7">
        <v>5.01</v>
      </c>
      <c r="D30" s="47" t="s">
        <v>150</v>
      </c>
      <c r="E30" s="6" t="str" cm="1">
        <f t="array" ref="E30:F33">_xlfn.SORTBY(H21:I24,I21:I24,-1)</f>
        <v>Jackey</v>
      </c>
      <c r="F30" s="7">
        <v>6.2</v>
      </c>
      <c r="G30" s="47" t="s">
        <v>150</v>
      </c>
      <c r="H30" s="6" t="str" cm="1">
        <f t="array" ref="H30:I33">_xlfn.SORTBY(J21:K24,K21:K24,-1)</f>
        <v>Jonny</v>
      </c>
      <c r="I30" s="7">
        <v>10.93</v>
      </c>
      <c r="J30" s="47" t="s">
        <v>150</v>
      </c>
    </row>
    <row r="31" spans="1:11" ht="14.4" x14ac:dyDescent="0.3">
      <c r="A31" s="73"/>
      <c r="B31" s="6" t="str">
        <v>Hayley</v>
      </c>
      <c r="C31" s="5">
        <v>4.99</v>
      </c>
      <c r="D31" s="1"/>
      <c r="E31" s="6" t="str">
        <v>Jonny</v>
      </c>
      <c r="F31" s="5">
        <v>5.92</v>
      </c>
      <c r="G31" s="1"/>
      <c r="H31" s="6" t="str">
        <v>Jackey</v>
      </c>
      <c r="I31" s="5">
        <v>10.19</v>
      </c>
      <c r="J31" s="1"/>
    </row>
    <row r="32" spans="1:11" ht="14.4" x14ac:dyDescent="0.3">
      <c r="A32" s="73"/>
      <c r="B32" s="6" t="str">
        <v>Jackey</v>
      </c>
      <c r="C32" s="5">
        <v>3.99</v>
      </c>
      <c r="D32" s="1"/>
      <c r="E32" s="6" t="str">
        <v>Hayley</v>
      </c>
      <c r="F32" s="5">
        <v>4.0199999999999996</v>
      </c>
      <c r="G32" s="1"/>
      <c r="H32" s="6" t="str">
        <v>Hayley</v>
      </c>
      <c r="I32" s="5">
        <v>9.01</v>
      </c>
      <c r="J32" s="1"/>
    </row>
    <row r="33" spans="1:10" ht="14.4" x14ac:dyDescent="0.3">
      <c r="A33" s="73"/>
      <c r="B33" s="6" t="str">
        <v>Carey</v>
      </c>
      <c r="C33" s="5">
        <v>1.23</v>
      </c>
      <c r="D33" s="1"/>
      <c r="E33" s="6" t="str">
        <v>Carey</v>
      </c>
      <c r="F33" s="5">
        <v>2.11</v>
      </c>
      <c r="G33" s="1"/>
      <c r="H33" s="6" t="str">
        <v>Carey</v>
      </c>
      <c r="I33" s="5">
        <v>3.34</v>
      </c>
      <c r="J33" s="1"/>
    </row>
    <row r="36" spans="1:10" ht="14.4" x14ac:dyDescent="0.3">
      <c r="A36" s="90" t="s">
        <v>151</v>
      </c>
      <c r="B36" s="77"/>
      <c r="C36" s="77"/>
      <c r="D36" s="77"/>
      <c r="E36" s="77"/>
      <c r="F36" s="77"/>
      <c r="G36" s="77"/>
      <c r="H36" s="77"/>
      <c r="I36" s="77"/>
      <c r="J36" s="78"/>
    </row>
    <row r="37" spans="1:10" ht="14.4" x14ac:dyDescent="0.3">
      <c r="A37" s="82"/>
      <c r="B37" s="83"/>
      <c r="C37" s="83"/>
      <c r="D37" s="83"/>
      <c r="E37" s="83"/>
      <c r="F37" s="83"/>
      <c r="G37" s="83"/>
      <c r="H37" s="83"/>
      <c r="I37" s="83"/>
      <c r="J37" s="84"/>
    </row>
    <row r="39" spans="1:10" ht="14.4" x14ac:dyDescent="0.3">
      <c r="B39" s="2" t="s">
        <v>152</v>
      </c>
      <c r="C39" s="1"/>
      <c r="D39" s="1"/>
      <c r="E39" s="1"/>
      <c r="F39" s="1"/>
    </row>
    <row r="40" spans="1:10" ht="14.4" x14ac:dyDescent="0.3">
      <c r="B40" s="1" t="s">
        <v>153</v>
      </c>
      <c r="C40" s="1"/>
      <c r="D40" s="1"/>
      <c r="E40" s="1"/>
      <c r="F40" s="1"/>
    </row>
    <row r="41" spans="1:10" ht="14.4" x14ac:dyDescent="0.3">
      <c r="B41" s="1" t="s">
        <v>154</v>
      </c>
      <c r="C41" s="1"/>
      <c r="D41" s="1"/>
      <c r="E41" s="1"/>
      <c r="F41" s="1"/>
    </row>
    <row r="42" spans="1:10" ht="14.4" x14ac:dyDescent="0.3">
      <c r="B42" s="1"/>
      <c r="C42" s="1"/>
      <c r="D42" s="1"/>
      <c r="E42" s="1"/>
      <c r="F42" s="1"/>
    </row>
    <row r="43" spans="1:10" ht="14.4" x14ac:dyDescent="0.3">
      <c r="B43" s="1"/>
      <c r="C43" s="2" t="s">
        <v>155</v>
      </c>
      <c r="D43" s="2" t="s">
        <v>156</v>
      </c>
      <c r="E43" s="2" t="s">
        <v>0</v>
      </c>
      <c r="F43" s="2" t="s">
        <v>157</v>
      </c>
    </row>
    <row r="44" spans="1:10" ht="14.4" x14ac:dyDescent="0.3">
      <c r="B44" s="1"/>
      <c r="C44" s="1" t="s">
        <v>120</v>
      </c>
      <c r="D44" s="1" t="s">
        <v>158</v>
      </c>
      <c r="E44" s="1" t="s">
        <v>6</v>
      </c>
      <c r="F44" s="3">
        <v>100</v>
      </c>
    </row>
    <row r="45" spans="1:10" ht="14.4" x14ac:dyDescent="0.3">
      <c r="B45" s="1"/>
      <c r="C45" s="1" t="s">
        <v>159</v>
      </c>
      <c r="D45" s="1" t="s">
        <v>160</v>
      </c>
      <c r="E45" s="1" t="s">
        <v>161</v>
      </c>
      <c r="F45" s="3">
        <v>98</v>
      </c>
    </row>
    <row r="46" spans="1:10" ht="14.4" x14ac:dyDescent="0.3">
      <c r="B46" s="1"/>
      <c r="C46" s="1" t="s">
        <v>162</v>
      </c>
      <c r="D46" s="1" t="s">
        <v>163</v>
      </c>
      <c r="E46" s="1" t="s">
        <v>59</v>
      </c>
      <c r="F46" s="3">
        <v>100</v>
      </c>
    </row>
    <row r="47" spans="1:10" ht="14.4" x14ac:dyDescent="0.3">
      <c r="B47" s="1"/>
      <c r="C47" s="1" t="s">
        <v>122</v>
      </c>
      <c r="D47" s="1" t="s">
        <v>164</v>
      </c>
      <c r="E47" s="1" t="s">
        <v>13</v>
      </c>
      <c r="F47" s="3">
        <v>92</v>
      </c>
    </row>
    <row r="48" spans="1:10" ht="14.4" x14ac:dyDescent="0.3">
      <c r="B48" s="1"/>
      <c r="C48" s="1" t="s">
        <v>120</v>
      </c>
      <c r="D48" s="1" t="s">
        <v>160</v>
      </c>
      <c r="E48" s="1" t="s">
        <v>17</v>
      </c>
      <c r="F48" s="3">
        <v>91</v>
      </c>
    </row>
    <row r="49" spans="2:6" ht="14.4" x14ac:dyDescent="0.3">
      <c r="B49" s="1"/>
      <c r="C49" s="1" t="s">
        <v>122</v>
      </c>
      <c r="D49" s="1" t="s">
        <v>163</v>
      </c>
      <c r="E49" s="1" t="s">
        <v>7</v>
      </c>
      <c r="F49" s="3">
        <v>93</v>
      </c>
    </row>
    <row r="50" spans="2:6" ht="14.4" x14ac:dyDescent="0.3">
      <c r="B50" s="1"/>
      <c r="C50" s="1" t="s">
        <v>159</v>
      </c>
      <c r="D50" s="1" t="s">
        <v>158</v>
      </c>
      <c r="E50" s="1" t="s">
        <v>165</v>
      </c>
      <c r="F50" s="3">
        <v>94</v>
      </c>
    </row>
    <row r="51" spans="2:6" ht="14.4" x14ac:dyDescent="0.3">
      <c r="B51" s="1"/>
      <c r="C51" s="1" t="s">
        <v>120</v>
      </c>
      <c r="D51" s="1" t="s">
        <v>166</v>
      </c>
      <c r="E51" s="1" t="s">
        <v>167</v>
      </c>
      <c r="F51" s="3">
        <v>100</v>
      </c>
    </row>
    <row r="52" spans="2:6" ht="14.4" x14ac:dyDescent="0.3">
      <c r="B52" s="1"/>
      <c r="C52" s="1" t="s">
        <v>122</v>
      </c>
      <c r="D52" s="1" t="s">
        <v>168</v>
      </c>
      <c r="E52" s="1" t="s">
        <v>169</v>
      </c>
      <c r="F52" s="3">
        <v>98</v>
      </c>
    </row>
    <row r="53" spans="2:6" ht="14.4" x14ac:dyDescent="0.3">
      <c r="B53" s="1"/>
      <c r="C53" s="1"/>
      <c r="D53" s="1"/>
      <c r="E53" s="1"/>
      <c r="F53" s="1"/>
    </row>
    <row r="54" spans="2:6" ht="14.4" x14ac:dyDescent="0.3">
      <c r="B54" s="1"/>
      <c r="C54" s="2" t="s">
        <v>155</v>
      </c>
      <c r="D54" s="2" t="s">
        <v>156</v>
      </c>
      <c r="E54" s="2" t="s">
        <v>0</v>
      </c>
      <c r="F54" s="2" t="s">
        <v>157</v>
      </c>
    </row>
    <row r="55" spans="2:6" ht="14.4" x14ac:dyDescent="0.3">
      <c r="B55" s="2" t="s">
        <v>170</v>
      </c>
      <c r="C55" s="11" t="str" cm="1">
        <f t="array" ref="C55:F63">_xlfn.SORTBY(C44:F52,C44:C52,1,D44:D52,1)</f>
        <v>A</v>
      </c>
      <c r="D55" s="1" t="str">
        <v>Brazil</v>
      </c>
      <c r="E55" s="1" t="str">
        <v>Daniel</v>
      </c>
      <c r="F55" s="1">
        <v>100</v>
      </c>
    </row>
    <row r="56" spans="2:6" ht="14.4" x14ac:dyDescent="0.3">
      <c r="B56" s="1"/>
      <c r="C56" s="1" t="str">
        <v>A</v>
      </c>
      <c r="D56" s="1" t="str">
        <v>Canada</v>
      </c>
      <c r="E56" s="1" t="str">
        <v>Alex</v>
      </c>
      <c r="F56" s="1">
        <v>91</v>
      </c>
    </row>
    <row r="57" spans="2:6" ht="14.4" x14ac:dyDescent="0.3">
      <c r="B57" s="1"/>
      <c r="C57" s="1" t="str">
        <v>A</v>
      </c>
      <c r="D57" s="1" t="str">
        <v>USA</v>
      </c>
      <c r="E57" s="1" t="str">
        <v>John</v>
      </c>
      <c r="F57" s="1">
        <v>100</v>
      </c>
    </row>
    <row r="58" spans="2:6" ht="15" customHeight="1" x14ac:dyDescent="0.3">
      <c r="C58" t="str">
        <v>B</v>
      </c>
      <c r="D58" t="str">
        <v>Israel</v>
      </c>
      <c r="E58" t="str">
        <v>Dan</v>
      </c>
      <c r="F58">
        <v>100</v>
      </c>
    </row>
    <row r="59" spans="2:6" ht="15" customHeight="1" x14ac:dyDescent="0.3">
      <c r="C59" t="str">
        <v>C</v>
      </c>
      <c r="D59" t="str">
        <v>Israel</v>
      </c>
      <c r="E59" t="str">
        <v>Dean</v>
      </c>
      <c r="F59">
        <v>93</v>
      </c>
    </row>
    <row r="60" spans="2:6" ht="15" customHeight="1" x14ac:dyDescent="0.3">
      <c r="C60" t="str">
        <v>C</v>
      </c>
      <c r="D60" t="str">
        <v>Nigeria</v>
      </c>
      <c r="E60" t="str">
        <v>James</v>
      </c>
      <c r="F60">
        <v>98</v>
      </c>
    </row>
    <row r="61" spans="2:6" ht="15" customHeight="1" x14ac:dyDescent="0.3">
      <c r="C61" t="str">
        <v>C</v>
      </c>
      <c r="D61" t="str">
        <v>UK</v>
      </c>
      <c r="E61" t="str">
        <v>Jake</v>
      </c>
      <c r="F61">
        <v>92</v>
      </c>
    </row>
    <row r="62" spans="2:6" ht="15" customHeight="1" x14ac:dyDescent="0.3">
      <c r="C62" t="str">
        <v>D</v>
      </c>
      <c r="D62" t="str">
        <v>Canada</v>
      </c>
      <c r="E62" t="str">
        <v>Robert</v>
      </c>
      <c r="F62">
        <v>98</v>
      </c>
    </row>
    <row r="63" spans="2:6" ht="15" customHeight="1" x14ac:dyDescent="0.3">
      <c r="C63" t="str">
        <v>D</v>
      </c>
      <c r="D63" t="str">
        <v>USA</v>
      </c>
      <c r="E63" t="str">
        <v>Jay Jay</v>
      </c>
      <c r="F63">
        <v>94</v>
      </c>
    </row>
  </sheetData>
  <mergeCells count="13">
    <mergeCell ref="A1:D1"/>
    <mergeCell ref="A11:A15"/>
    <mergeCell ref="A20:E20"/>
    <mergeCell ref="A21:E21"/>
    <mergeCell ref="B28:C28"/>
    <mergeCell ref="A30:A33"/>
    <mergeCell ref="A36:J37"/>
    <mergeCell ref="H25:I25"/>
    <mergeCell ref="H26:I26"/>
    <mergeCell ref="B27:C27"/>
    <mergeCell ref="H27:I27"/>
    <mergeCell ref="E28:F28"/>
    <mergeCell ref="H28:I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6">
    <outlinePr summaryBelow="0" summaryRight="0"/>
  </sheetPr>
  <dimension ref="A1:F14"/>
  <sheetViews>
    <sheetView tabSelected="1" workbookViewId="0">
      <selection activeCell="B11" sqref="B11"/>
    </sheetView>
  </sheetViews>
  <sheetFormatPr defaultColWidth="14.44140625" defaultRowHeight="15" customHeight="1" x14ac:dyDescent="0.3"/>
  <cols>
    <col min="1" max="1" width="31.6640625" customWidth="1"/>
    <col min="2" max="2" width="29" customWidth="1"/>
    <col min="3" max="3" width="32.88671875" customWidth="1"/>
    <col min="4" max="4" width="39.44140625" customWidth="1"/>
  </cols>
  <sheetData>
    <row r="1" spans="1:6" x14ac:dyDescent="0.3">
      <c r="A1" s="98" t="s">
        <v>171</v>
      </c>
      <c r="B1" s="73"/>
      <c r="C1" s="73"/>
      <c r="D1" s="73"/>
      <c r="E1" s="1"/>
      <c r="F1" s="1"/>
    </row>
    <row r="2" spans="1:6" x14ac:dyDescent="0.3">
      <c r="A2" s="1"/>
      <c r="B2" s="39" t="s">
        <v>27</v>
      </c>
      <c r="C2" s="39" t="s">
        <v>172</v>
      </c>
      <c r="D2" s="39" t="s">
        <v>173</v>
      </c>
      <c r="E2" s="1"/>
      <c r="F2" s="1"/>
    </row>
    <row r="3" spans="1:6" x14ac:dyDescent="0.3">
      <c r="A3" s="1"/>
      <c r="B3" s="40" t="s">
        <v>31</v>
      </c>
      <c r="C3" s="40" t="s">
        <v>174</v>
      </c>
      <c r="D3" s="41">
        <v>931.78</v>
      </c>
      <c r="E3" s="1"/>
      <c r="F3" s="1"/>
    </row>
    <row r="4" spans="1:6" x14ac:dyDescent="0.3">
      <c r="A4" s="1"/>
      <c r="B4" s="40" t="s">
        <v>175</v>
      </c>
      <c r="C4" s="40" t="s">
        <v>176</v>
      </c>
      <c r="D4" s="41">
        <v>341.28</v>
      </c>
      <c r="E4" s="1"/>
      <c r="F4" s="1"/>
    </row>
    <row r="5" spans="1:6" x14ac:dyDescent="0.3">
      <c r="A5" s="1"/>
      <c r="B5" s="40" t="s">
        <v>112</v>
      </c>
      <c r="C5" s="40" t="s">
        <v>174</v>
      </c>
      <c r="D5" s="41">
        <v>36.020000000000003</v>
      </c>
      <c r="E5" s="1"/>
      <c r="F5" s="1"/>
    </row>
    <row r="6" spans="1:6" x14ac:dyDescent="0.3">
      <c r="A6" s="1"/>
      <c r="B6" s="40" t="s">
        <v>177</v>
      </c>
      <c r="C6" s="40" t="s">
        <v>176</v>
      </c>
      <c r="D6" s="41">
        <v>130.25</v>
      </c>
      <c r="E6" s="1"/>
      <c r="F6" s="1"/>
    </row>
    <row r="7" spans="1:6" x14ac:dyDescent="0.3">
      <c r="A7" s="1"/>
      <c r="B7" s="40" t="s">
        <v>178</v>
      </c>
      <c r="C7" s="40" t="s">
        <v>176</v>
      </c>
      <c r="D7" s="41">
        <v>5.01</v>
      </c>
      <c r="E7" s="1"/>
      <c r="F7" s="1"/>
    </row>
    <row r="8" spans="1:6" x14ac:dyDescent="0.3">
      <c r="A8" s="1"/>
      <c r="B8" s="40" t="s">
        <v>33</v>
      </c>
      <c r="C8" s="40" t="s">
        <v>174</v>
      </c>
      <c r="D8" s="48">
        <v>1200</v>
      </c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39" t="s">
        <v>27</v>
      </c>
      <c r="C10" s="39" t="s">
        <v>172</v>
      </c>
      <c r="D10" s="39" t="s">
        <v>179</v>
      </c>
      <c r="E10" s="1"/>
      <c r="F10" s="1"/>
    </row>
    <row r="11" spans="1:6" x14ac:dyDescent="0.3">
      <c r="A11" s="99" t="s">
        <v>130</v>
      </c>
      <c r="B11" s="7" t="str" cm="1">
        <f t="array" ref="B11:D13">_xlfn._xlws.FILTER(B3:D8,C3:C8 = "Tech")</f>
        <v>Google</v>
      </c>
      <c r="C11" s="5" t="str">
        <v>Tech</v>
      </c>
      <c r="D11" s="5">
        <v>931.78</v>
      </c>
      <c r="E11" s="42" t="s">
        <v>131</v>
      </c>
      <c r="F11" s="1"/>
    </row>
    <row r="12" spans="1:6" x14ac:dyDescent="0.3">
      <c r="A12" s="74"/>
      <c r="B12" s="5" t="str">
        <v>Dell</v>
      </c>
      <c r="C12" s="5" t="str">
        <v>Tech</v>
      </c>
      <c r="D12" s="5">
        <v>36.020000000000003</v>
      </c>
      <c r="E12" s="1"/>
      <c r="F12" s="1"/>
    </row>
    <row r="13" spans="1:6" x14ac:dyDescent="0.3">
      <c r="A13" s="74"/>
      <c r="B13" s="5" t="str">
        <v>Microsoft</v>
      </c>
      <c r="C13" s="5" t="str">
        <v>Tech</v>
      </c>
      <c r="D13" s="49">
        <v>1200</v>
      </c>
      <c r="E13" s="1"/>
      <c r="F13" s="1"/>
    </row>
    <row r="14" spans="1:6" x14ac:dyDescent="0.3">
      <c r="A14" s="1"/>
      <c r="B14" s="1"/>
      <c r="C14" s="1"/>
      <c r="D14" s="1"/>
      <c r="E14" s="1"/>
      <c r="F14" s="1"/>
    </row>
  </sheetData>
  <mergeCells count="2">
    <mergeCell ref="A1:D1"/>
    <mergeCell ref="A11:A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7">
    <outlinePr summaryBelow="0" summaryRight="0"/>
  </sheetPr>
  <dimension ref="A1:N22"/>
  <sheetViews>
    <sheetView topLeftCell="A3" workbookViewId="0">
      <selection activeCell="G15" sqref="G15"/>
    </sheetView>
  </sheetViews>
  <sheetFormatPr defaultColWidth="14.44140625" defaultRowHeight="15" customHeight="1" x14ac:dyDescent="0.3"/>
  <cols>
    <col min="1" max="1" width="34.44140625" customWidth="1"/>
    <col min="9" max="9" width="31.6640625" customWidth="1"/>
  </cols>
  <sheetData>
    <row r="1" spans="1:14" ht="28.8" x14ac:dyDescent="0.3">
      <c r="A1" s="50" t="s">
        <v>180</v>
      </c>
      <c r="J1" s="1"/>
      <c r="K1" s="1"/>
      <c r="L1" s="1"/>
      <c r="M1" s="1"/>
      <c r="N1" s="1"/>
    </row>
    <row r="2" spans="1:14" ht="28.8" x14ac:dyDescent="0.3">
      <c r="A2" s="50" t="s">
        <v>181</v>
      </c>
      <c r="J2" s="1"/>
      <c r="K2" s="1"/>
      <c r="L2" s="1"/>
      <c r="M2" s="1"/>
      <c r="N2" s="1"/>
    </row>
    <row r="3" spans="1:14" ht="14.4" x14ac:dyDescent="0.3">
      <c r="A3" s="1" t="s">
        <v>182</v>
      </c>
      <c r="J3" s="1"/>
      <c r="K3" s="1"/>
      <c r="L3" s="1"/>
      <c r="M3" s="1"/>
      <c r="N3" s="1"/>
    </row>
    <row r="4" spans="1:14" ht="14.4" x14ac:dyDescent="0.3">
      <c r="A4" s="1"/>
      <c r="J4" s="1"/>
      <c r="K4" s="1"/>
      <c r="L4" s="1"/>
      <c r="M4" s="1"/>
      <c r="N4" s="1"/>
    </row>
    <row r="5" spans="1:14" ht="14.4" x14ac:dyDescent="0.3">
      <c r="A5" s="2" t="s">
        <v>183</v>
      </c>
      <c r="J5" s="1"/>
      <c r="K5" s="1"/>
      <c r="L5" s="1"/>
      <c r="M5" s="1"/>
      <c r="N5" s="1"/>
    </row>
    <row r="6" spans="1:14" ht="14.4" x14ac:dyDescent="0.3">
      <c r="A6" s="11" cm="1">
        <f t="array" aca="1" ref="A6:E10" ca="1">_xlfn.RANDARRAY(5,5,1,20,TRUE)</f>
        <v>11</v>
      </c>
      <c r="B6">
        <f ca="1"/>
        <v>8</v>
      </c>
      <c r="C6">
        <f ca="1"/>
        <v>15</v>
      </c>
      <c r="D6">
        <f ca="1"/>
        <v>6</v>
      </c>
      <c r="E6">
        <f ca="1"/>
        <v>12</v>
      </c>
      <c r="J6" s="1"/>
      <c r="K6" s="1"/>
      <c r="L6" s="1"/>
      <c r="M6" s="1"/>
      <c r="N6" s="1"/>
    </row>
    <row r="7" spans="1:14" ht="15" customHeight="1" x14ac:dyDescent="0.3">
      <c r="A7">
        <f ca="1"/>
        <v>7</v>
      </c>
      <c r="B7">
        <f ca="1"/>
        <v>1</v>
      </c>
      <c r="C7">
        <f ca="1"/>
        <v>10</v>
      </c>
      <c r="D7">
        <f ca="1"/>
        <v>8</v>
      </c>
      <c r="E7">
        <f ca="1"/>
        <v>1</v>
      </c>
    </row>
    <row r="8" spans="1:14" ht="15" customHeight="1" x14ac:dyDescent="0.3">
      <c r="A8">
        <f ca="1"/>
        <v>17</v>
      </c>
      <c r="B8">
        <f ca="1"/>
        <v>1</v>
      </c>
      <c r="C8">
        <f ca="1"/>
        <v>2</v>
      </c>
      <c r="D8">
        <f ca="1"/>
        <v>4</v>
      </c>
      <c r="E8">
        <f ca="1"/>
        <v>14</v>
      </c>
    </row>
    <row r="9" spans="1:14" ht="15" customHeight="1" x14ac:dyDescent="0.3">
      <c r="A9">
        <f ca="1"/>
        <v>2</v>
      </c>
      <c r="B9">
        <f ca="1"/>
        <v>16</v>
      </c>
      <c r="C9">
        <f ca="1"/>
        <v>18</v>
      </c>
      <c r="D9">
        <f ca="1"/>
        <v>9</v>
      </c>
      <c r="E9">
        <f ca="1"/>
        <v>14</v>
      </c>
    </row>
    <row r="10" spans="1:14" ht="15" customHeight="1" x14ac:dyDescent="0.3">
      <c r="A10">
        <f ca="1"/>
        <v>8</v>
      </c>
      <c r="B10">
        <f ca="1"/>
        <v>1</v>
      </c>
      <c r="C10">
        <f ca="1"/>
        <v>11</v>
      </c>
      <c r="D10">
        <f ca="1"/>
        <v>16</v>
      </c>
      <c r="E10">
        <f ca="1"/>
        <v>6</v>
      </c>
    </row>
    <row r="11" spans="1:14" ht="33.75" customHeight="1" x14ac:dyDescent="0.3">
      <c r="A11" s="50" t="s">
        <v>184</v>
      </c>
      <c r="B11" s="1"/>
      <c r="C11" s="1"/>
      <c r="D11" s="1"/>
      <c r="E11" s="1"/>
      <c r="F11" s="1"/>
      <c r="G11" s="1"/>
      <c r="H11" s="1"/>
      <c r="I11" s="1"/>
    </row>
    <row r="12" spans="1:14" ht="14.4" x14ac:dyDescent="0.3">
      <c r="A12" s="1" t="s">
        <v>185</v>
      </c>
      <c r="B12" s="1"/>
      <c r="C12" s="1"/>
      <c r="D12" s="1"/>
      <c r="E12" s="1"/>
      <c r="F12" s="1"/>
      <c r="G12" s="1"/>
      <c r="H12" s="1"/>
      <c r="I12" s="1"/>
    </row>
    <row r="13" spans="1:14" ht="14.4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14" ht="14.4" x14ac:dyDescent="0.3">
      <c r="A14" s="2" t="s">
        <v>183</v>
      </c>
      <c r="B14" s="1"/>
      <c r="C14" s="1"/>
      <c r="D14" s="1"/>
      <c r="E14" s="1"/>
      <c r="F14" s="1"/>
      <c r="G14" s="1"/>
      <c r="H14" s="1"/>
      <c r="I14" s="1"/>
    </row>
    <row r="15" spans="1:14" ht="14.4" x14ac:dyDescent="0.3">
      <c r="A15" s="11" cm="1">
        <f t="array" aca="1" ref="A15:D22" ca="1">_xlfn.RANDARRAY(8,4,10.7,34.3,FALSE)</f>
        <v>15.426509422038222</v>
      </c>
      <c r="B15" s="1">
        <f ca="1"/>
        <v>23.876294574760308</v>
      </c>
      <c r="C15" s="1">
        <f ca="1"/>
        <v>18.055907029492218</v>
      </c>
      <c r="D15" s="1">
        <f ca="1"/>
        <v>16.469857620636787</v>
      </c>
      <c r="E15" s="1"/>
      <c r="F15" s="1"/>
      <c r="G15" s="1"/>
      <c r="H15" s="1"/>
      <c r="I15" s="1"/>
    </row>
    <row r="16" spans="1:14" ht="14.4" x14ac:dyDescent="0.3">
      <c r="A16" s="1">
        <f ca="1"/>
        <v>11.726054416748639</v>
      </c>
      <c r="B16" s="1">
        <f ca="1"/>
        <v>26.434082765407027</v>
      </c>
      <c r="C16" s="1">
        <f ca="1"/>
        <v>20.896430137657447</v>
      </c>
      <c r="D16" s="1">
        <f ca="1"/>
        <v>33.39478635797991</v>
      </c>
      <c r="E16" s="1"/>
      <c r="F16" s="1"/>
      <c r="G16" s="1"/>
      <c r="H16" s="1"/>
      <c r="I16" s="1"/>
    </row>
    <row r="17" spans="1:9" ht="14.4" x14ac:dyDescent="0.3">
      <c r="A17" s="1">
        <f ca="1"/>
        <v>21.901554151063529</v>
      </c>
      <c r="B17" s="1">
        <f ca="1"/>
        <v>25.053764485234382</v>
      </c>
      <c r="C17" s="1">
        <f ca="1"/>
        <v>15.965748159309541</v>
      </c>
      <c r="D17" s="1">
        <f ca="1"/>
        <v>13.053109343192745</v>
      </c>
      <c r="E17" s="1"/>
      <c r="F17" s="1"/>
      <c r="G17" s="1"/>
      <c r="H17" s="1"/>
      <c r="I17" s="1"/>
    </row>
    <row r="18" spans="1:9" ht="15" customHeight="1" x14ac:dyDescent="0.3">
      <c r="A18">
        <f ca="1"/>
        <v>29.694557375989127</v>
      </c>
      <c r="B18">
        <f ca="1"/>
        <v>11.489466905732826</v>
      </c>
      <c r="C18">
        <f ca="1"/>
        <v>25.567938495363826</v>
      </c>
      <c r="D18">
        <f ca="1"/>
        <v>27.347320966936699</v>
      </c>
    </row>
    <row r="19" spans="1:9" ht="15" customHeight="1" x14ac:dyDescent="0.3">
      <c r="A19">
        <f ca="1"/>
        <v>13.787969322511053</v>
      </c>
      <c r="B19">
        <f ca="1"/>
        <v>20.355149694556268</v>
      </c>
      <c r="C19">
        <f ca="1"/>
        <v>30.187688177064977</v>
      </c>
      <c r="D19">
        <f ca="1"/>
        <v>17.57319687695631</v>
      </c>
    </row>
    <row r="20" spans="1:9" ht="15" customHeight="1" x14ac:dyDescent="0.3">
      <c r="A20">
        <f ca="1"/>
        <v>13.316164216099878</v>
      </c>
      <c r="B20">
        <f ca="1"/>
        <v>23.938782736646928</v>
      </c>
      <c r="C20">
        <f ca="1"/>
        <v>26.682088325169033</v>
      </c>
      <c r="D20">
        <f ca="1"/>
        <v>15.899930293405838</v>
      </c>
    </row>
    <row r="21" spans="1:9" ht="15" customHeight="1" x14ac:dyDescent="0.3">
      <c r="A21">
        <f ca="1"/>
        <v>27.66069081664272</v>
      </c>
      <c r="B21">
        <f ca="1"/>
        <v>14.314891655852549</v>
      </c>
      <c r="C21">
        <f ca="1"/>
        <v>21.435388720318912</v>
      </c>
      <c r="D21">
        <f ca="1"/>
        <v>19.652859995210783</v>
      </c>
    </row>
    <row r="22" spans="1:9" ht="15" customHeight="1" x14ac:dyDescent="0.3">
      <c r="A22">
        <f ca="1"/>
        <v>20.052058009759321</v>
      </c>
      <c r="B22">
        <f ca="1"/>
        <v>25.693076817083174</v>
      </c>
      <c r="C22">
        <f ca="1"/>
        <v>15.266698702016441</v>
      </c>
      <c r="D22">
        <f ca="1"/>
        <v>19.40293939622034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VLOOKUP</vt:lpstr>
      <vt:lpstr>XLOOKUP</vt:lpstr>
      <vt:lpstr>INDEX and MATCH</vt:lpstr>
      <vt:lpstr>UNIQUE and SEQUENCE</vt:lpstr>
      <vt:lpstr>SORT and SORTBY</vt:lpstr>
      <vt:lpstr>FILTER</vt:lpstr>
      <vt:lpstr>RANDARRAY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BISWADIP BHOWMICK</dc:creator>
  <cp:keywords/>
  <dc:description/>
  <cp:lastModifiedBy>Derin Girish</cp:lastModifiedBy>
  <cp:revision/>
  <dcterms:created xsi:type="dcterms:W3CDTF">2025-05-28T23:18:56Z</dcterms:created>
  <dcterms:modified xsi:type="dcterms:W3CDTF">2026-06-08T14:20:10Z</dcterms:modified>
  <cp:category/>
  <cp:contentStatus/>
</cp:coreProperties>
</file>