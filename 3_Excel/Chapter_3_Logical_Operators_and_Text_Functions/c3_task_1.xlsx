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D:\PROITBRIDGE_Learning\3_Excel\Chapter_3_Logical_Operators_and_Text_Functions\"/>
    </mc:Choice>
  </mc:AlternateContent>
  <xr:revisionPtr revIDLastSave="0" documentId="13_ncr:1_{B98801D5-AF1D-4CC3-9854-15C38944F4E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8" i="1"/>
  <c r="M9" i="1"/>
  <c r="M10" i="1"/>
  <c r="M11" i="1"/>
  <c r="M2" i="1"/>
  <c r="L2" i="1"/>
  <c r="I11" i="1"/>
  <c r="K3" i="1"/>
  <c r="K4" i="1"/>
  <c r="K5" i="1"/>
  <c r="K6" i="1"/>
  <c r="K7" i="1"/>
  <c r="K8" i="1"/>
  <c r="K9" i="1"/>
  <c r="K10" i="1"/>
  <c r="K11" i="1"/>
  <c r="K2" i="1"/>
  <c r="O3" i="1"/>
  <c r="O4" i="1"/>
  <c r="O5" i="1"/>
  <c r="O6" i="1"/>
  <c r="O7" i="1"/>
  <c r="O8" i="1"/>
  <c r="O9" i="1"/>
  <c r="O10" i="1"/>
  <c r="O11" i="1"/>
  <c r="O2" i="1"/>
  <c r="N3" i="1"/>
  <c r="N4" i="1"/>
  <c r="N5" i="1"/>
  <c r="N6" i="1"/>
  <c r="N7" i="1"/>
  <c r="N8" i="1"/>
  <c r="N9" i="1"/>
  <c r="N10" i="1"/>
  <c r="N11" i="1"/>
  <c r="N2" i="1"/>
  <c r="I3" i="1"/>
  <c r="I4" i="1"/>
  <c r="I5" i="1"/>
  <c r="I6" i="1"/>
  <c r="I7" i="1"/>
  <c r="I8" i="1"/>
  <c r="I9" i="1"/>
  <c r="I10" i="1"/>
  <c r="I2" i="1"/>
  <c r="J3" i="1"/>
  <c r="J4" i="1"/>
  <c r="J5" i="1"/>
  <c r="J6" i="1"/>
  <c r="J7" i="1"/>
  <c r="J8" i="1"/>
  <c r="J9" i="1"/>
  <c r="J10" i="1"/>
  <c r="J11" i="1"/>
  <c r="J2" i="1"/>
  <c r="L3" i="1"/>
  <c r="L4" i="1"/>
  <c r="L5" i="1"/>
  <c r="L6" i="1"/>
  <c r="L7" i="1"/>
  <c r="L8" i="1"/>
  <c r="L9" i="1"/>
  <c r="L10" i="1"/>
  <c r="L11" i="1"/>
  <c r="H3" i="1"/>
  <c r="H4" i="1"/>
  <c r="H5" i="1"/>
  <c r="H6" i="1"/>
  <c r="H7" i="1"/>
  <c r="H8" i="1"/>
  <c r="H9" i="1"/>
  <c r="H10" i="1"/>
  <c r="H11" i="1"/>
  <c r="H2" i="1"/>
</calcChain>
</file>

<file path=xl/sharedStrings.xml><?xml version="1.0" encoding="utf-8"?>
<sst xmlns="http://schemas.openxmlformats.org/spreadsheetml/2006/main" count="60" uniqueCount="50">
  <si>
    <t>Employee ID</t>
  </si>
  <si>
    <t>Employee Name</t>
  </si>
  <si>
    <t>Phone Number</t>
  </si>
  <si>
    <t>Email</t>
  </si>
  <si>
    <t>Department</t>
  </si>
  <si>
    <t>Joining Date</t>
  </si>
  <si>
    <t>Status</t>
  </si>
  <si>
    <t>emp001</t>
  </si>
  <si>
    <t>Rahul Sharma</t>
  </si>
  <si>
    <t>rahul.sharma@company.com</t>
  </si>
  <si>
    <t>Sales</t>
  </si>
  <si>
    <t>Active</t>
  </si>
  <si>
    <t>EMP-002</t>
  </si>
  <si>
    <t>Anita Singh</t>
  </si>
  <si>
    <t>98765 43211</t>
  </si>
  <si>
    <t>anita.singhcompany.com</t>
  </si>
  <si>
    <t>HR</t>
  </si>
  <si>
    <t>EMP003</t>
  </si>
  <si>
    <t>David Mathews</t>
  </si>
  <si>
    <t>IT</t>
  </si>
  <si>
    <t>Emp004</t>
  </si>
  <si>
    <t>Sunil Kumar</t>
  </si>
  <si>
    <t>sunil.kumar@company.com</t>
  </si>
  <si>
    <t>Finance</t>
  </si>
  <si>
    <t>Inactive</t>
  </si>
  <si>
    <t>EMP 005</t>
  </si>
  <si>
    <t>Priya R</t>
  </si>
  <si>
    <t>priya.r@company.com</t>
  </si>
  <si>
    <t>Marketing</t>
  </si>
  <si>
    <t>EMP006</t>
  </si>
  <si>
    <t>Aman Verma</t>
  </si>
  <si>
    <t>aman.verma@company.com</t>
  </si>
  <si>
    <t>emp007</t>
  </si>
  <si>
    <t>Maria Lopez</t>
  </si>
  <si>
    <t>EMP008</t>
  </si>
  <si>
    <t>John Paul</t>
  </si>
  <si>
    <t>john.paul@company</t>
  </si>
  <si>
    <t>emp009</t>
  </si>
  <si>
    <t>Khushi Jain</t>
  </si>
  <si>
    <t>khushi.jain@company.com</t>
  </si>
  <si>
    <t>EMP010</t>
  </si>
  <si>
    <t>rohan.m@company.com</t>
  </si>
  <si>
    <t>1. Start with EMP</t>
  </si>
  <si>
    <t>2. First Name</t>
  </si>
  <si>
    <t>3. Last Name</t>
  </si>
  <si>
    <t>4. Phono. Validation</t>
  </si>
  <si>
    <t>5. Missing Email ID</t>
  </si>
  <si>
    <t>6. Email Validation</t>
  </si>
  <si>
    <t>8. EmpName + EmpID + Dept</t>
  </si>
  <si>
    <t>7. EmpName + EmpID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</si>
</sst>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7">
    <xf numFmtId="0" fontId="0" fillId="0" borderId="0" xfId="0"/>
    <xf numFmtId="0" fontId="0" fillId="0" borderId="1" xfId="0" applyBorder="1" applyAlignment="1">
      <alignment wrapText="1"/>
    </xf>
    <xf numFmtId="0" fontId="1" fillId="0" borderId="1" xfId="1" applyBorder="1" applyAlignment="1">
      <alignment wrapText="1"/>
    </xf>
    <xf numFmtId="14" fontId="0" fillId="0" borderId="1" xfId="0" applyNumberFormat="1" applyBorder="1" applyAlignment="1">
      <alignment wrapText="1"/>
    </xf>
    <xf numFmtId="0" fontId="2" fillId="0" borderId="1" xfId="0" applyFont="1" applyBorder="1" applyAlignment="1">
      <alignment horizontal="left" wrapText="1"/>
    </xf>
    <xf numFmtId="0" fontId="2" fillId="0" borderId="0" xfId="0" applyFont="1" applyAlignment="1">
      <alignment horizontal="left"/>
    </xf>
    <xf numFmtId="0" fontId="2" fillId="0" borderId="2" xfId="0" applyFont="1" applyBorder="1" applyAlignment="1">
      <alignment horizontal="left" wrapText="1"/>
    </xf>
    <xf numFmtId="0" fontId="0" fillId="0" borderId="2" xfId="0" applyBorder="1" applyAlignment="1">
      <alignment wrapText="1"/>
    </xf>
    <xf numFmtId="0" fontId="0" fillId="0" borderId="4" xfId="0" applyBorder="1" applyAlignment="1">
      <alignment wrapText="1"/>
    </xf>
    <xf numFmtId="14" fontId="0" fillId="0" borderId="5" xfId="0" applyNumberFormat="1" applyBorder="1" applyAlignment="1">
      <alignment wrapText="1"/>
    </xf>
    <xf numFmtId="14" fontId="0" fillId="0" borderId="6" xfId="0" applyNumberFormat="1" applyBorder="1" applyAlignment="1">
      <alignment wrapText="1"/>
    </xf>
    <xf numFmtId="14" fontId="0" fillId="0" borderId="3" xfId="0" applyNumberFormat="1" applyBorder="1" applyAlignment="1">
      <alignment wrapText="1"/>
    </xf>
    <xf numFmtId="0" fontId="2" fillId="2" borderId="3" xfId="0" applyFont="1" applyFill="1" applyBorder="1" applyAlignment="1">
      <alignment horizontal="left" wrapText="1"/>
    </xf>
    <xf numFmtId="0" fontId="0" fillId="2" borderId="3" xfId="0" applyFill="1" applyBorder="1"/>
    <xf numFmtId="0" fontId="0" fillId="0" borderId="0" xfId="0" applyFill="1"/>
    <xf numFmtId="0" fontId="2" fillId="2" borderId="3" xfId="0" applyFont="1" applyFill="1" applyBorder="1" applyAlignment="1">
      <alignment horizontal="left"/>
    </xf>
    <xf numFmtId="0" fontId="0" fillId="2" borderId="3" xfId="0" applyFill="1" applyBorder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priya.r@company.com" TargetMode="External"/><Relationship Id="rId2" Type="http://schemas.openxmlformats.org/officeDocument/2006/relationships/hyperlink" Target="mailto:sunil.kumar@company.com" TargetMode="External"/><Relationship Id="rId1" Type="http://schemas.openxmlformats.org/officeDocument/2006/relationships/hyperlink" Target="mailto:rahul.sharma@company.com" TargetMode="External"/><Relationship Id="rId6" Type="http://schemas.openxmlformats.org/officeDocument/2006/relationships/hyperlink" Target="mailto:rohan.m@company.com" TargetMode="External"/><Relationship Id="rId5" Type="http://schemas.openxmlformats.org/officeDocument/2006/relationships/hyperlink" Target="mailto:khushi.jain@company.com" TargetMode="External"/><Relationship Id="rId4" Type="http://schemas.openxmlformats.org/officeDocument/2006/relationships/hyperlink" Target="mailto:aman.verma@company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O12"/>
  <sheetViews>
    <sheetView tabSelected="1" topLeftCell="C1" workbookViewId="0">
      <selection activeCell="H16" sqref="H16"/>
    </sheetView>
  </sheetViews>
  <sheetFormatPr defaultRowHeight="14.4" x14ac:dyDescent="0.3"/>
  <cols>
    <col min="1" max="1" width="11.33203125" bestFit="1" customWidth="1"/>
    <col min="2" max="2" width="14.6640625" bestFit="1" customWidth="1"/>
    <col min="3" max="3" width="13.33203125" bestFit="1" customWidth="1"/>
    <col min="4" max="4" width="25.21875" bestFit="1" customWidth="1"/>
    <col min="5" max="5" width="11" bestFit="1" customWidth="1"/>
    <col min="6" max="6" width="10.88671875" bestFit="1" customWidth="1"/>
    <col min="7" max="7" width="7.21875" bestFit="1" customWidth="1"/>
    <col min="8" max="8" width="14.88671875" bestFit="1" customWidth="1"/>
    <col min="9" max="9" width="12" bestFit="1" customWidth="1"/>
    <col min="10" max="10" width="11.6640625" bestFit="1" customWidth="1"/>
    <col min="11" max="11" width="17.6640625" bestFit="1" customWidth="1"/>
    <col min="12" max="12" width="16.44140625" bestFit="1" customWidth="1"/>
    <col min="13" max="13" width="16.6640625" bestFit="1" customWidth="1"/>
    <col min="14" max="14" width="19.109375" bestFit="1" customWidth="1"/>
    <col min="15" max="15" width="24.88671875" bestFit="1" customWidth="1"/>
  </cols>
  <sheetData>
    <row r="1" spans="1:15" s="5" customFormat="1" ht="17.399999999999999" customHeigh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6" t="s">
        <v>6</v>
      </c>
      <c r="H1" s="12" t="s">
        <v>42</v>
      </c>
      <c r="I1" s="12" t="s">
        <v>43</v>
      </c>
      <c r="J1" s="15" t="s">
        <v>44</v>
      </c>
      <c r="K1" s="15" t="s">
        <v>45</v>
      </c>
      <c r="L1" s="15" t="s">
        <v>46</v>
      </c>
      <c r="M1" s="15" t="s">
        <v>47</v>
      </c>
      <c r="N1" s="15" t="s">
        <v>49</v>
      </c>
      <c r="O1" s="15" t="s">
        <v>48</v>
      </c>
    </row>
    <row r="2" spans="1:15" x14ac:dyDescent="0.3">
      <c r="A2" s="1" t="s">
        <v>7</v>
      </c>
      <c r="B2" s="1" t="s">
        <v>8</v>
      </c>
      <c r="C2" s="1">
        <v>9876543210</v>
      </c>
      <c r="D2" s="2" t="s">
        <v>9</v>
      </c>
      <c r="E2" s="1" t="s">
        <v>10</v>
      </c>
      <c r="F2" s="3">
        <v>44239</v>
      </c>
      <c r="G2" s="7" t="s">
        <v>11</v>
      </c>
      <c r="H2" s="13" t="str">
        <f>IF(LEFT(A2, 3) = "EMP", "Yes", "No")</f>
        <v>Yes</v>
      </c>
      <c r="I2" s="13" t="str">
        <f>IF(ISBLANK(B2), "Not Found",LEFT(B2, FIND(" ", B2) -1))</f>
        <v>Rahul</v>
      </c>
      <c r="J2" s="13" t="str">
        <f>IF( ISBLANK(B2), "Not Found", RIGHT( B2,LEN(B2) -FIND(" ", B2) ))</f>
        <v>Sharma</v>
      </c>
      <c r="K2" s="13" t="b">
        <f>AND(NOT(ISBLANK(C2)),LEN(C2) = 10)</f>
        <v>1</v>
      </c>
      <c r="L2" s="16" t="b">
        <f>ISBLANK(M2)</f>
        <v>0</v>
      </c>
      <c r="M2" s="13" t="str">
        <f>IF(OR(ISBLANK(D2), NOT(ISNUMBER(FIND("@", D2)))), "Invalid", "Valid")</f>
        <v>Valid</v>
      </c>
      <c r="N2" s="13" t="str">
        <f>_xlfn.CONCAT( (IF(ISBLANK(B2), "NoName",B2)), " ",RIGHT(A2,3))</f>
        <v>Rahul Sharma 001</v>
      </c>
      <c r="O2" s="13" t="str">
        <f>_xlfn.TEXTJOIN(" - ", FALSE, (IF(ISBLANK(B2), "NoName",B2)), RIGHT(A2, 3), (IF(ISBLANK(E2),"NoDept",E2)))</f>
        <v>Rahul Sharma - 001 - Sales</v>
      </c>
    </row>
    <row r="3" spans="1:15" x14ac:dyDescent="0.3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3">
        <v>44140</v>
      </c>
      <c r="G3" s="7" t="s">
        <v>11</v>
      </c>
      <c r="H3" s="13" t="str">
        <f t="shared" ref="H3:H11" si="0">IF(LEFT(A3, 3) = "EMP", "Yes", "No")</f>
        <v>Yes</v>
      </c>
      <c r="I3" s="13" t="str">
        <f t="shared" ref="I3:I11" si="1">IF(ISBLANK(B3), "Not Found",LEFT(B3, FIND(" ", B3) -1))</f>
        <v>Anita</v>
      </c>
      <c r="J3" s="13" t="str">
        <f t="shared" ref="J3:J11" si="2">IF( ISBLANK(B3), "Not Found", RIGHT( B3,LEN(B3) -FIND(" ", B3) ))</f>
        <v>Singh</v>
      </c>
      <c r="K3" s="13" t="b">
        <f t="shared" ref="K3:K11" si="3">AND(NOT(ISBLANK(C3)),LEN(C3) = 10)</f>
        <v>0</v>
      </c>
      <c r="L3" s="13" t="b">
        <f t="shared" ref="L3:L11" si="4">ISBLANK(D3)</f>
        <v>0</v>
      </c>
      <c r="M3" s="13" t="str">
        <f t="shared" ref="M3:M11" si="5">IF(OR(ISBLANK(D3), NOT(ISNUMBER(FIND("@", D3)))), "Invalid", "Valid")</f>
        <v>Invalid</v>
      </c>
      <c r="N3" s="13" t="str">
        <f t="shared" ref="N3:N11" si="6">_xlfn.CONCAT( (IF(ISBLANK(B3), "NoName",B3)), " ",RIGHT(A3,3))</f>
        <v>Anita Singh 002</v>
      </c>
      <c r="O3" s="13" t="str">
        <f t="shared" ref="O3:O11" si="7">_xlfn.TEXTJOIN(" - ", FALSE, (IF(ISBLANK(B3), "NoName",B3)), RIGHT(A3, 3), (IF(ISBLANK(E3),"NoDept",E3)))</f>
        <v>Anita Singh - 002 - HR</v>
      </c>
    </row>
    <row r="4" spans="1:15" x14ac:dyDescent="0.3">
      <c r="A4" s="1" t="s">
        <v>17</v>
      </c>
      <c r="B4" s="1" t="s">
        <v>18</v>
      </c>
      <c r="C4" s="1">
        <v>9876509876</v>
      </c>
      <c r="D4" s="1"/>
      <c r="E4" s="1" t="s">
        <v>19</v>
      </c>
      <c r="F4" s="3">
        <v>44030</v>
      </c>
      <c r="G4" s="7"/>
      <c r="H4" s="13" t="str">
        <f t="shared" si="0"/>
        <v>Yes</v>
      </c>
      <c r="I4" s="13" t="str">
        <f t="shared" si="1"/>
        <v>David</v>
      </c>
      <c r="J4" s="13" t="str">
        <f t="shared" si="2"/>
        <v>Mathews</v>
      </c>
      <c r="K4" s="13" t="b">
        <f t="shared" si="3"/>
        <v>1</v>
      </c>
      <c r="L4" s="13" t="b">
        <f t="shared" si="4"/>
        <v>1</v>
      </c>
      <c r="M4" s="13" t="str">
        <f t="shared" si="5"/>
        <v>Invalid</v>
      </c>
      <c r="N4" s="13" t="str">
        <f t="shared" si="6"/>
        <v>David Mathews 003</v>
      </c>
      <c r="O4" s="13" t="str">
        <f t="shared" si="7"/>
        <v>David Mathews - 003 - IT</v>
      </c>
    </row>
    <row r="5" spans="1:15" x14ac:dyDescent="0.3">
      <c r="A5" s="1" t="s">
        <v>20</v>
      </c>
      <c r="B5" s="1" t="s">
        <v>21</v>
      </c>
      <c r="C5" s="1"/>
      <c r="D5" s="2" t="s">
        <v>22</v>
      </c>
      <c r="E5" s="1" t="s">
        <v>23</v>
      </c>
      <c r="F5" s="3">
        <v>43542</v>
      </c>
      <c r="G5" s="7" t="s">
        <v>24</v>
      </c>
      <c r="H5" s="13" t="str">
        <f t="shared" si="0"/>
        <v>Yes</v>
      </c>
      <c r="I5" s="13" t="str">
        <f t="shared" si="1"/>
        <v>Sunil</v>
      </c>
      <c r="J5" s="13" t="str">
        <f t="shared" si="2"/>
        <v>Kumar</v>
      </c>
      <c r="K5" s="13" t="b">
        <f t="shared" si="3"/>
        <v>0</v>
      </c>
      <c r="L5" s="13" t="b">
        <f t="shared" si="4"/>
        <v>0</v>
      </c>
      <c r="M5" s="13" t="str">
        <f t="shared" si="5"/>
        <v>Valid</v>
      </c>
      <c r="N5" s="13" t="str">
        <f t="shared" si="6"/>
        <v>Sunil Kumar 004</v>
      </c>
      <c r="O5" s="13" t="str">
        <f t="shared" si="7"/>
        <v>Sunil Kumar - 004 - Finance</v>
      </c>
    </row>
    <row r="6" spans="1:15" x14ac:dyDescent="0.3">
      <c r="A6" s="1" t="s">
        <v>25</v>
      </c>
      <c r="B6" s="1" t="s">
        <v>26</v>
      </c>
      <c r="C6" s="1">
        <v>9901234567</v>
      </c>
      <c r="D6" s="2" t="s">
        <v>27</v>
      </c>
      <c r="E6" s="1" t="s">
        <v>28</v>
      </c>
      <c r="F6" s="3">
        <v>44446</v>
      </c>
      <c r="G6" s="7" t="s">
        <v>11</v>
      </c>
      <c r="H6" s="13" t="str">
        <f t="shared" si="0"/>
        <v>Yes</v>
      </c>
      <c r="I6" s="13" t="str">
        <f t="shared" si="1"/>
        <v>Priya</v>
      </c>
      <c r="J6" s="13" t="str">
        <f t="shared" si="2"/>
        <v>R</v>
      </c>
      <c r="K6" s="13" t="b">
        <f t="shared" si="3"/>
        <v>1</v>
      </c>
      <c r="L6" s="13" t="b">
        <f t="shared" si="4"/>
        <v>0</v>
      </c>
      <c r="M6" s="13" t="str">
        <f t="shared" si="5"/>
        <v>Valid</v>
      </c>
      <c r="N6" s="13" t="str">
        <f t="shared" si="6"/>
        <v>Priya R 005</v>
      </c>
      <c r="O6" s="13" t="str">
        <f t="shared" si="7"/>
        <v>Priya R - 005 - Marketing</v>
      </c>
    </row>
    <row r="7" spans="1:15" x14ac:dyDescent="0.3">
      <c r="A7" s="1" t="s">
        <v>29</v>
      </c>
      <c r="B7" s="1" t="s">
        <v>30</v>
      </c>
      <c r="C7" s="1">
        <v>991234567</v>
      </c>
      <c r="D7" s="2" t="s">
        <v>31</v>
      </c>
      <c r="E7" s="1" t="s">
        <v>19</v>
      </c>
      <c r="F7" s="9">
        <v>44848</v>
      </c>
      <c r="G7" s="7" t="s">
        <v>11</v>
      </c>
      <c r="H7" s="13" t="str">
        <f t="shared" si="0"/>
        <v>Yes</v>
      </c>
      <c r="I7" s="13" t="str">
        <f t="shared" si="1"/>
        <v>Aman</v>
      </c>
      <c r="J7" s="13" t="str">
        <f t="shared" si="2"/>
        <v>Verma</v>
      </c>
      <c r="K7" s="13" t="b">
        <f t="shared" si="3"/>
        <v>0</v>
      </c>
      <c r="L7" s="13" t="b">
        <f t="shared" si="4"/>
        <v>0</v>
      </c>
      <c r="M7" s="13" t="str">
        <f t="shared" si="5"/>
        <v>Valid</v>
      </c>
      <c r="N7" s="13" t="str">
        <f t="shared" si="6"/>
        <v>Aman Verma 006</v>
      </c>
      <c r="O7" s="13" t="str">
        <f t="shared" si="7"/>
        <v>Aman Verma - 006 - IT</v>
      </c>
    </row>
    <row r="8" spans="1:15" x14ac:dyDescent="0.3">
      <c r="A8" s="1" t="s">
        <v>32</v>
      </c>
      <c r="B8" s="1" t="s">
        <v>33</v>
      </c>
      <c r="C8" s="1">
        <v>9876543210</v>
      </c>
      <c r="D8" s="1"/>
      <c r="E8" s="7" t="s">
        <v>10</v>
      </c>
      <c r="F8" s="11">
        <v>43831</v>
      </c>
      <c r="G8" s="8" t="s">
        <v>11</v>
      </c>
      <c r="H8" s="13" t="str">
        <f t="shared" si="0"/>
        <v>Yes</v>
      </c>
      <c r="I8" s="13" t="str">
        <f t="shared" si="1"/>
        <v>Maria</v>
      </c>
      <c r="J8" s="13" t="str">
        <f t="shared" si="2"/>
        <v>Lopez</v>
      </c>
      <c r="K8" s="13" t="b">
        <f t="shared" si="3"/>
        <v>1</v>
      </c>
      <c r="L8" s="13" t="b">
        <f t="shared" si="4"/>
        <v>1</v>
      </c>
      <c r="M8" s="13" t="str">
        <f t="shared" si="5"/>
        <v>Invalid</v>
      </c>
      <c r="N8" s="13" t="str">
        <f t="shared" si="6"/>
        <v>Maria Lopez 007</v>
      </c>
      <c r="O8" s="13" t="str">
        <f t="shared" si="7"/>
        <v>Maria Lopez - 007 - Sales</v>
      </c>
    </row>
    <row r="9" spans="1:15" x14ac:dyDescent="0.3">
      <c r="A9" s="1" t="s">
        <v>34</v>
      </c>
      <c r="B9" s="1" t="s">
        <v>35</v>
      </c>
      <c r="C9" s="1">
        <v>8899776655</v>
      </c>
      <c r="D9" s="1" t="s">
        <v>36</v>
      </c>
      <c r="E9" s="1" t="s">
        <v>19</v>
      </c>
      <c r="F9" s="10">
        <v>43445</v>
      </c>
      <c r="G9" s="7" t="s">
        <v>24</v>
      </c>
      <c r="H9" s="13" t="str">
        <f t="shared" si="0"/>
        <v>Yes</v>
      </c>
      <c r="I9" s="13" t="str">
        <f t="shared" si="1"/>
        <v>John</v>
      </c>
      <c r="J9" s="13" t="str">
        <f t="shared" si="2"/>
        <v>Paul</v>
      </c>
      <c r="K9" s="13" t="b">
        <f t="shared" si="3"/>
        <v>1</v>
      </c>
      <c r="L9" s="13" t="b">
        <f t="shared" si="4"/>
        <v>0</v>
      </c>
      <c r="M9" s="13" t="str">
        <f t="shared" si="5"/>
        <v>Valid</v>
      </c>
      <c r="N9" s="13" t="str">
        <f t="shared" si="6"/>
        <v>John Paul 008</v>
      </c>
      <c r="O9" s="13" t="str">
        <f t="shared" si="7"/>
        <v>John Paul - 008 - IT</v>
      </c>
    </row>
    <row r="10" spans="1:15" x14ac:dyDescent="0.3">
      <c r="A10" s="1" t="s">
        <v>37</v>
      </c>
      <c r="B10" s="1" t="s">
        <v>38</v>
      </c>
      <c r="C10" s="1">
        <v>9901122334</v>
      </c>
      <c r="D10" s="2" t="s">
        <v>39</v>
      </c>
      <c r="E10" s="1"/>
      <c r="F10" s="3">
        <v>45039</v>
      </c>
      <c r="G10" s="7" t="s">
        <v>11</v>
      </c>
      <c r="H10" s="13" t="str">
        <f t="shared" si="0"/>
        <v>Yes</v>
      </c>
      <c r="I10" s="13" t="str">
        <f t="shared" si="1"/>
        <v>Khushi</v>
      </c>
      <c r="J10" s="13" t="str">
        <f t="shared" si="2"/>
        <v>Jain</v>
      </c>
      <c r="K10" s="13" t="b">
        <f t="shared" si="3"/>
        <v>1</v>
      </c>
      <c r="L10" s="13" t="b">
        <f t="shared" si="4"/>
        <v>0</v>
      </c>
      <c r="M10" s="13" t="str">
        <f t="shared" si="5"/>
        <v>Valid</v>
      </c>
      <c r="N10" s="13" t="str">
        <f t="shared" si="6"/>
        <v>Khushi Jain 009</v>
      </c>
      <c r="O10" s="13" t="str">
        <f t="shared" si="7"/>
        <v>Khushi Jain - 009 - NoDept</v>
      </c>
    </row>
    <row r="11" spans="1:15" x14ac:dyDescent="0.3">
      <c r="A11" s="1" t="s">
        <v>40</v>
      </c>
      <c r="B11" s="1"/>
      <c r="C11" s="1">
        <v>9811122233</v>
      </c>
      <c r="D11" s="2" t="s">
        <v>41</v>
      </c>
      <c r="E11" s="1" t="s">
        <v>10</v>
      </c>
      <c r="F11" s="3">
        <v>44728</v>
      </c>
      <c r="G11" s="7"/>
      <c r="H11" s="13" t="str">
        <f t="shared" si="0"/>
        <v>Yes</v>
      </c>
      <c r="I11" s="13" t="str">
        <f>IF(ISBLANK(B11), "Not Found",LEFT(B11, FIND(" ", B11) -1))</f>
        <v>Not Found</v>
      </c>
      <c r="J11" s="13" t="str">
        <f t="shared" si="2"/>
        <v>Not Found</v>
      </c>
      <c r="K11" s="13" t="b">
        <f t="shared" si="3"/>
        <v>1</v>
      </c>
      <c r="L11" s="13" t="b">
        <f t="shared" si="4"/>
        <v>0</v>
      </c>
      <c r="M11" s="13" t="str">
        <f t="shared" si="5"/>
        <v>Valid</v>
      </c>
      <c r="N11" s="13" t="str">
        <f t="shared" si="6"/>
        <v>NoName 010</v>
      </c>
      <c r="O11" s="13" t="str">
        <f t="shared" si="7"/>
        <v>NoName - 010 - Sales</v>
      </c>
    </row>
    <row r="12" spans="1:15" x14ac:dyDescent="0.3">
      <c r="H12" s="14"/>
    </row>
  </sheetData>
  <hyperlinks>
    <hyperlink ref="D2" r:id="rId1" xr:uid="{F09AD907-91BB-42A8-9198-C92C40A967A2}"/>
    <hyperlink ref="D5" r:id="rId2" xr:uid="{0501D170-9B4B-4751-8620-1ABB268DF41B}"/>
    <hyperlink ref="D6" r:id="rId3" xr:uid="{881700B0-42D5-4156-AF72-A2BCACD53014}"/>
    <hyperlink ref="D7" r:id="rId4" xr:uid="{AEA2BDDF-BF4A-4C1A-80CC-2758590E533E}"/>
    <hyperlink ref="D10" r:id="rId5" xr:uid="{68829858-A0C3-46C7-9369-F3DF07624A55}"/>
    <hyperlink ref="D11" r:id="rId6" xr:uid="{1E0683C6-A48B-4022-97DF-F31BFA74276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Derin Girish</cp:lastModifiedBy>
  <cp:revision/>
  <dcterms:created xsi:type="dcterms:W3CDTF">2025-12-04T10:21:09Z</dcterms:created>
  <dcterms:modified xsi:type="dcterms:W3CDTF">2026-06-07T14:05:29Z</dcterms:modified>
  <cp:category/>
  <cp:contentStatus/>
</cp:coreProperties>
</file>