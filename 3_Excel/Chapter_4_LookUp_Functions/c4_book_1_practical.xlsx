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_Learning\3_Excel\Chapter_4_LookUp_Functions\"/>
    </mc:Choice>
  </mc:AlternateContent>
  <xr:revisionPtr revIDLastSave="0" documentId="13_ncr:1_{DDA3FA70-C830-4D32-B383-2ACB3195A1EC}" xr6:coauthVersionLast="47" xr6:coauthVersionMax="47" xr10:uidLastSave="{00000000-0000-0000-0000-000000000000}"/>
  <bookViews>
    <workbookView xWindow="-108" yWindow="-108" windowWidth="23256" windowHeight="1245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5" i="9" a="1"/>
  <c r="J5" i="9"/>
  <c r="I3" i="11"/>
  <c r="J3" i="9" a="1"/>
  <c r="J3" i="9"/>
  <c r="I3" i="6" a="1"/>
  <c r="I3" i="6"/>
  <c r="I8" i="12"/>
  <c r="I4" i="5"/>
  <c r="C9" i="4"/>
  <c r="E6" i="5"/>
  <c r="E7" i="5"/>
  <c r="E8" i="5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/>
  <c r="C6" i="11"/>
  <c r="C7" i="11"/>
  <c r="C8" i="11"/>
  <c r="C9" i="11"/>
  <c r="C10" i="11"/>
  <c r="C11" i="11"/>
  <c r="C12" i="11"/>
  <c r="C13" i="11"/>
  <c r="C14" i="11"/>
  <c r="F3" i="11"/>
  <c r="E3" i="9"/>
  <c r="F3" i="9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/>
  <c r="C6" i="6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5" i="5"/>
  <c r="E4" i="5"/>
  <c r="B4" i="5"/>
  <c r="B5" i="5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5" i="12"/>
  <c r="B6" i="12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<sst xmlns="http://schemas.openxmlformats.org/spreadsheetml/2006/main" count="209" uniqueCount="49">
  <si>
    <t xml:space="preserve"> </t>
  </si>
  <si>
    <t>Salesperson</t>
  </si>
  <si>
    <t>ID Number</t>
  </si>
  <si>
    <t>Date</t>
  </si>
  <si>
    <t>Sale Amount</t>
  </si>
  <si>
    <t>Commission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</si>
  <si>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</si>
  <si>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</si>
  <si>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</si>
  <si>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</si>
  <si>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</si>
  <si>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</si>
  <si>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</si>
  <si>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</si>
  <si>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</si>
  <si>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</si>
  <si>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</si>
  <si>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</si>
  <si>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</si>
  <si>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</si>
  <si>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</si>
  <si>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</si>
  <si>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</si>
  <si>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</si>
  <si>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</si>
  <si>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</si>
  <si>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</si>
  <si>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</si>
  <si>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Xlookup</t>
  </si>
  <si>
    <t>Company</t>
  </si>
  <si>
    <t>Name</t>
  </si>
  <si>
    <t>Coca-Cola Inc.</t>
  </si>
  <si>
    <t>Nike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</si>
  <si>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</si>
  <si>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</si>
  <si>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</si>
  <si>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</si>
  <si>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</si>
  <si>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</si>
  <si>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</si>
  <si>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</si>
  <si>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</si>
  <si>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</si>
  <si>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Commissions by Salesperson</t>
  </si>
  <si>
    <t>Year</t>
  </si>
  <si>
    <t>Figures in USD</t>
  </si>
  <si>
    <t>&lt;= alt. formula with proper if else case for year not found and name not found</t>
  </si>
  <si>
    <t>pepsi</t>
  </si>
  <si>
    <t>bruce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</si>
</sst>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&quot;$&quot;#,##0.00"/>
    <numFmt numFmtId="166" formatCode="&quot;$&quot;#,##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3" fillId="4" borderId="0" xfId="0" applyFont="1" applyFill="1"/>
    <xf numFmtId="164" fontId="0" fillId="0" borderId="0" xfId="0" applyNumberFormat="1" applyAlignment="1">
      <alignment horizontal="center" wrapText="1"/>
    </xf>
    <xf numFmtId="165" fontId="0" fillId="0" borderId="0" xfId="0" applyNumberFormat="1"/>
    <xf numFmtId="165" fontId="2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5" borderId="0" xfId="0" applyFill="1"/>
    <xf numFmtId="1" fontId="0" fillId="5" borderId="0" xfId="0" applyNumberFormat="1" applyFill="1"/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tabSelected="1" zoomScale="115" zoomScaleNormal="115" workbookViewId="0">
      <selection activeCell="C19" sqref="C19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5</v>
      </c>
    </row>
    <row r="3" spans="1:9" x14ac:dyDescent="0.3">
      <c r="B3" t="s">
        <v>6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23</v>
      </c>
      <c r="I3" s="2">
        <f>VLOOKUP(H3,B2:F24,5,FALSE)</f>
        <v>1349.7966604877784</v>
      </c>
    </row>
    <row r="4" spans="1:9" x14ac:dyDescent="0.3">
      <c r="B4" t="s">
        <v>7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</row>
    <row r="5" spans="1:9" x14ac:dyDescent="0.3">
      <c r="B5" t="s">
        <v>8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</row>
    <row r="6" spans="1:9" x14ac:dyDescent="0.3">
      <c r="B6" t="s">
        <v>9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3">
      <c r="B7" t="s">
        <v>10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3">
      <c r="B8" t="s">
        <v>11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3">
      <c r="B9" t="s">
        <v>12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3">
      <c r="B10" t="s">
        <v>13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3">
      <c r="B11" t="s">
        <v>14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3">
      <c r="B12" t="s">
        <v>15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3">
      <c r="B13" t="s">
        <v>16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3">
      <c r="B14" t="s">
        <v>17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3">
      <c r="B15" t="s">
        <v>18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3">
      <c r="B16" t="s">
        <v>19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3">
      <c r="B17" t="s">
        <v>20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3">
      <c r="B18" t="s">
        <v>21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3">
      <c r="B19" t="s">
        <v>22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3">
      <c r="B20" t="s">
        <v>23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3">
      <c r="B21" t="s">
        <v>24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3">
      <c r="B22" t="s">
        <v>25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3">
      <c r="B23" t="s">
        <v>26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3">
      <c r="B24" t="s">
        <v>27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D12" sqref="D12"/>
    </sheetView>
  </sheetViews>
  <sheetFormatPr defaultColWidth="10.59765625" defaultRowHeight="15.6" x14ac:dyDescent="0.3"/>
  <cols>
    <col min="2" max="2" width="11.59765625" bestFit="1" customWidth="1"/>
  </cols>
  <sheetData>
    <row r="2" spans="2:24" x14ac:dyDescent="0.3">
      <c r="B2" s="9" t="s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</row>
    <row r="3" spans="2:24" x14ac:dyDescent="0.3">
      <c r="B3" s="9" t="s">
        <v>2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3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4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5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5</v>
      </c>
    </row>
    <row r="9" spans="2:24" x14ac:dyDescent="0.3">
      <c r="B9" t="s">
        <v>9</v>
      </c>
      <c r="C9" s="2">
        <f>HLOOKUP(B9,B2:X6,5,FALSE)</f>
        <v>1610.8324187039998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workbookViewId="0">
      <selection activeCell="H7" sqref="H7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8" max="8" width="14.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ht="15.6" customHeight="1" x14ac:dyDescent="0.3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21" t="s">
        <v>28</v>
      </c>
      <c r="I2" s="21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5" t="s">
        <v>1</v>
      </c>
      <c r="I3" s="5" t="s">
        <v>5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H4" t="s">
        <v>8</v>
      </c>
      <c r="I4" s="2">
        <f>_xlfn.XLOOKUP(H4,F3:F24,E3:E24)</f>
        <v>1413.0108935999999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ht="15.6" customHeight="1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22"/>
      <c r="I6" s="22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14"/>
      <c r="I7" s="14"/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I8" s="2"/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K7" sqref="K7"/>
    </sheetView>
  </sheetViews>
  <sheetFormatPr defaultColWidth="10.59765625" defaultRowHeight="15.6" x14ac:dyDescent="0.3"/>
  <cols>
    <col min="4" max="4" width="11.59765625" bestFit="1" customWidth="1"/>
    <col min="5" max="5" width="13.5" style="16" bestFit="1" customWidth="1"/>
    <col min="6" max="6" width="15.5" bestFit="1" customWidth="1"/>
    <col min="7" max="7" width="6.8984375" customWidth="1"/>
    <col min="8" max="8" width="12.19921875" bestFit="1" customWidth="1"/>
    <col min="9" max="9" width="17.5976562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2</v>
      </c>
      <c r="C2" s="8" t="s">
        <v>3</v>
      </c>
      <c r="D2" s="8" t="s">
        <v>4</v>
      </c>
      <c r="E2" s="17" t="s">
        <v>5</v>
      </c>
      <c r="F2" s="8" t="s">
        <v>1</v>
      </c>
      <c r="H2" s="22"/>
      <c r="I2" s="22"/>
    </row>
    <row r="3" spans="1:9" x14ac:dyDescent="0.3">
      <c r="B3" s="6">
        <v>124300</v>
      </c>
      <c r="C3" s="7">
        <v>44754</v>
      </c>
      <c r="D3" s="10">
        <v>5436.33</v>
      </c>
      <c r="E3" s="18">
        <f>D3*0.2</f>
        <v>1087.2660000000001</v>
      </c>
      <c r="F3" t="s">
        <v>6</v>
      </c>
      <c r="H3" s="14"/>
      <c r="I3" s="14"/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8">
        <f t="shared" ref="E4:E24" si="0">D4*0.2</f>
        <v>1239.48324</v>
      </c>
      <c r="F4" t="s">
        <v>7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8">
        <f t="shared" si="0"/>
        <v>1413.0108935999999</v>
      </c>
      <c r="F5" t="s">
        <v>8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8">
        <f t="shared" si="0"/>
        <v>1610.8324187039998</v>
      </c>
      <c r="F6" t="s">
        <v>9</v>
      </c>
      <c r="H6" s="21" t="s">
        <v>28</v>
      </c>
      <c r="I6" s="21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8">
        <f t="shared" si="0"/>
        <v>1836.3489573225595</v>
      </c>
      <c r="F7" t="s">
        <v>10</v>
      </c>
      <c r="H7" s="5" t="s">
        <v>1</v>
      </c>
      <c r="I7" s="5" t="s">
        <v>5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8">
        <f t="shared" si="0"/>
        <v>2093.4378113477173</v>
      </c>
      <c r="F8" t="s">
        <v>11</v>
      </c>
      <c r="H8" t="s">
        <v>9</v>
      </c>
      <c r="I8">
        <f>_xlfn.XLOOKUP(H8,F3:F24,E3:E24,"Not Found")</f>
        <v>1610.8324187039998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8">
        <f t="shared" si="0"/>
        <v>489.26970000000006</v>
      </c>
      <c r="F9" t="s">
        <v>12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8">
        <f t="shared" si="0"/>
        <v>538.19667000000015</v>
      </c>
      <c r="F10" t="s">
        <v>13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8">
        <f t="shared" si="0"/>
        <v>592.01633700000002</v>
      </c>
      <c r="F11" t="s">
        <v>14</v>
      </c>
      <c r="I11" s="1"/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8">
        <f t="shared" si="0"/>
        <v>651.21797070000002</v>
      </c>
      <c r="F12" t="s">
        <v>15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8">
        <f t="shared" si="0"/>
        <v>716.33976777000021</v>
      </c>
      <c r="F13" t="s">
        <v>16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8">
        <f t="shared" si="0"/>
        <v>787.97374454700036</v>
      </c>
      <c r="F14" t="s">
        <v>17</v>
      </c>
      <c r="I14" s="1"/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8">
        <f t="shared" si="0"/>
        <v>866.77111900170041</v>
      </c>
      <c r="F15" t="s">
        <v>18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8">
        <f t="shared" si="0"/>
        <v>953.4482309018706</v>
      </c>
      <c r="F16" t="s">
        <v>19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8">
        <f t="shared" si="0"/>
        <v>1048.7930539920578</v>
      </c>
      <c r="F17" t="s">
        <v>20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8">
        <f t="shared" si="0"/>
        <v>1153.6723593912636</v>
      </c>
      <c r="F18" t="s">
        <v>21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8">
        <f t="shared" si="0"/>
        <v>1038.3051234521372</v>
      </c>
      <c r="F19" t="s">
        <v>22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8">
        <f t="shared" si="0"/>
        <v>1349.7966604877784</v>
      </c>
      <c r="F20" t="s">
        <v>23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8">
        <f t="shared" si="0"/>
        <v>1754.7356586341118</v>
      </c>
      <c r="F21" t="s">
        <v>24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8">
        <f t="shared" si="0"/>
        <v>2281.1563562243459</v>
      </c>
      <c r="F22" t="s">
        <v>25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8">
        <f t="shared" si="0"/>
        <v>1330</v>
      </c>
      <c r="F23" t="s">
        <v>26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8">
        <f t="shared" si="0"/>
        <v>1468.2</v>
      </c>
      <c r="F24" t="s">
        <v>27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topLeftCell="B1" workbookViewId="0">
      <selection activeCell="K11" sqref="K11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8" max="8" width="11.8984375" bestFit="1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4</v>
      </c>
      <c r="J2" s="8" t="s">
        <v>5</v>
      </c>
    </row>
    <row r="3" spans="1:10" x14ac:dyDescent="0.3">
      <c r="B3" t="s">
        <v>6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6</v>
      </c>
      <c r="I3" cm="1">
        <f t="array" ref="I3:J3">_xlfn.XLOOKUP(H3,B3:B24,E3:F24, "Not Found")</f>
        <v>5436.33</v>
      </c>
      <c r="J3" s="2">
        <v>1087.2660000000001</v>
      </c>
    </row>
    <row r="4" spans="1:10" x14ac:dyDescent="0.3">
      <c r="B4" t="s">
        <v>7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3">
      <c r="B5" t="s">
        <v>8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3">
      <c r="B6" t="s">
        <v>9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3">
      <c r="B7" t="s">
        <v>10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3">
      <c r="B8" t="s">
        <v>11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3">
      <c r="B9" t="s">
        <v>12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3">
      <c r="B10" t="s">
        <v>13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3">
      <c r="B11" t="s">
        <v>14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3">
      <c r="B12" t="s">
        <v>15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3">
      <c r="B13" t="s">
        <v>16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3">
      <c r="B14" t="s">
        <v>17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3">
      <c r="B15" t="s">
        <v>18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3">
      <c r="B16" t="s">
        <v>19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20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21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22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23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24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25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26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27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J9" sqref="J9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29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30</v>
      </c>
      <c r="I2" s="8" t="s">
        <v>4</v>
      </c>
    </row>
    <row r="3" spans="1:9" x14ac:dyDescent="0.3">
      <c r="B3" s="11" t="s">
        <v>31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47</v>
      </c>
      <c r="I3" s="10">
        <f>_xlfn.XLOOKUP(H3&amp;"*",B3:B14,E3:E14, "Not Found", 2)</f>
        <v>10467.189056738587</v>
      </c>
    </row>
    <row r="4" spans="1:9" x14ac:dyDescent="0.3">
      <c r="B4" s="11" t="s">
        <v>32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3">
      <c r="B5" s="11" t="s">
        <v>33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34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35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36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37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38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39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40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41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42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L25"/>
  <sheetViews>
    <sheetView showGridLines="0" workbookViewId="0">
      <selection activeCell="H6" sqref="H6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36" bestFit="1" customWidth="1"/>
  </cols>
  <sheetData>
    <row r="1" spans="1:12" x14ac:dyDescent="0.3">
      <c r="A1" t="s">
        <v>0</v>
      </c>
    </row>
    <row r="2" spans="1:12" x14ac:dyDescent="0.3">
      <c r="B2" s="21" t="s">
        <v>43</v>
      </c>
      <c r="C2" s="21"/>
      <c r="D2" s="21"/>
      <c r="E2" s="21"/>
      <c r="F2" s="21"/>
      <c r="H2" s="8" t="s">
        <v>1</v>
      </c>
      <c r="I2" s="8" t="s">
        <v>44</v>
      </c>
      <c r="J2" s="8" t="s">
        <v>5</v>
      </c>
    </row>
    <row r="3" spans="1:12" x14ac:dyDescent="0.3">
      <c r="B3" s="12" t="s">
        <v>45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1" t="s">
        <v>10</v>
      </c>
      <c r="I3" s="13">
        <v>1000</v>
      </c>
      <c r="J3" s="15" t="e" cm="1">
        <f t="array" ref="J3">_xlfn.XLOOKUP(H3,B4:B25,_xlfn.XLOOKUP(I3,C3:F3,C4:F25),"Name Not Found")</f>
        <v>#N/A</v>
      </c>
    </row>
    <row r="4" spans="1:12" x14ac:dyDescent="0.3">
      <c r="B4" s="11" t="s">
        <v>6</v>
      </c>
      <c r="C4" s="10">
        <v>1087.2660000000001</v>
      </c>
      <c r="D4" s="10">
        <v>1250.3559</v>
      </c>
      <c r="E4" s="10">
        <v>1187.838105</v>
      </c>
      <c r="F4" s="10">
        <v>1413.52734495</v>
      </c>
    </row>
    <row r="5" spans="1:12" x14ac:dyDescent="0.3">
      <c r="B5" s="11" t="s">
        <v>7</v>
      </c>
      <c r="C5" s="10">
        <v>1239.48324</v>
      </c>
      <c r="D5" s="10">
        <v>1425.405726</v>
      </c>
      <c r="E5" s="10">
        <v>1354.1354397</v>
      </c>
      <c r="F5" s="10">
        <v>1611.4211732429999</v>
      </c>
      <c r="H5" s="11" t="s">
        <v>48</v>
      </c>
      <c r="I5" s="13">
        <v>2019</v>
      </c>
      <c r="J5" s="20" cm="1">
        <f t="array" ref="J5">IF(COUNTIF(C3:F3,I5)=0,"Year Not Found",_xlfn.XLOOKUP(H5&amp;"*",B4:B25,_xlfn.XLOOKUP(I5,C3:F3,C4:F25),"Name Not Found", 2))</f>
        <v>1349.7966604877784</v>
      </c>
      <c r="K5" s="19" t="s">
        <v>46</v>
      </c>
      <c r="L5" s="19"/>
    </row>
    <row r="6" spans="1:12" x14ac:dyDescent="0.3">
      <c r="B6" s="11" t="s">
        <v>8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2" x14ac:dyDescent="0.3">
      <c r="B7" s="11" t="s">
        <v>9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2" x14ac:dyDescent="0.3">
      <c r="B8" s="11" t="s">
        <v>10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2" x14ac:dyDescent="0.3">
      <c r="B9" s="11" t="s">
        <v>11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2" x14ac:dyDescent="0.3">
      <c r="B10" s="11" t="s">
        <v>12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2" x14ac:dyDescent="0.3">
      <c r="B11" s="11" t="s">
        <v>13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2" x14ac:dyDescent="0.3">
      <c r="B12" s="11" t="s">
        <v>14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2" x14ac:dyDescent="0.3">
      <c r="B13" s="11" t="s">
        <v>15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2" x14ac:dyDescent="0.3">
      <c r="B14" s="11" t="s">
        <v>16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2" x14ac:dyDescent="0.3">
      <c r="B15" s="11" t="s">
        <v>17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2" x14ac:dyDescent="0.3">
      <c r="B16" s="11" t="s">
        <v>18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s="11" t="s">
        <v>19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s="11" t="s">
        <v>20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s="11" t="s">
        <v>21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s="11" t="s">
        <v>22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s="11" t="s">
        <v>23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s="11" t="s">
        <v>24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s="11" t="s">
        <v>25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s="11" t="s">
        <v>26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s="11" t="s">
        <v>27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Hlookup</vt:lpstr>
      <vt:lpstr>Xlookup</vt:lpstr>
      <vt:lpstr>Xlookup 2</vt:lpstr>
      <vt:lpstr>Xlookup 3</vt:lpstr>
      <vt:lpstr>Xlookup 4</vt:lpstr>
      <vt:lpstr>Xlookup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Derin Girish</cp:lastModifiedBy>
  <cp:revision/>
  <dcterms:created xsi:type="dcterms:W3CDTF">2022-08-01T09:40:24Z</dcterms:created>
  <dcterms:modified xsi:type="dcterms:W3CDTF">2026-06-07T17:56:01Z</dcterms:modified>
  <cp:category/>
  <cp:contentStatus/>
</cp:coreProperties>
</file>